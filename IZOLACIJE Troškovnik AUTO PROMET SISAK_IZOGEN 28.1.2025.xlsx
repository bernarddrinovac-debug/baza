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showInkAnnotation="0"/>
  <mc:AlternateContent xmlns:mc="http://schemas.openxmlformats.org/markup-compatibility/2006">
    <mc:Choice Requires="x15">
      <x15ac:absPath xmlns:x15ac="http://schemas.microsoft.com/office/spreadsheetml/2010/11/ac" url="C:\Users\Bruno Cindric\Downloads\"/>
    </mc:Choice>
  </mc:AlternateContent>
  <xr:revisionPtr revIDLastSave="0" documentId="8_{266CA21C-7D4F-4C0A-B503-9FBFB0E9862E}" xr6:coauthVersionLast="47" xr6:coauthVersionMax="47" xr10:uidLastSave="{00000000-0000-0000-0000-000000000000}"/>
  <bookViews>
    <workbookView xWindow="21503" yWindow="-98" windowWidth="28994" windowHeight="15675" tabRatio="903" xr2:uid="{00000000-000D-0000-FFFF-FFFF00000000}"/>
  </bookViews>
  <sheets>
    <sheet name="građ-obrt" sheetId="28" r:id="rId1"/>
    <sheet name="promet" sheetId="33" r:id="rId2"/>
    <sheet name="strojarstvo" sheetId="31" r:id="rId3"/>
    <sheet name="elektro" sheetId="32" r:id="rId4"/>
    <sheet name="ViK" sheetId="30"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0" localSheetId="4">#REF!</definedName>
    <definedName name="\0">#REF!</definedName>
    <definedName name="____________________________atr1" localSheetId="4">#REF!</definedName>
    <definedName name="____________________________atr1">#REF!</definedName>
    <definedName name="____________________________i1" localSheetId="4">#REF!</definedName>
    <definedName name="____________________________i1">#REF!</definedName>
    <definedName name="____________________________ii1" localSheetId="4">#REF!</definedName>
    <definedName name="____________________________ii1">#REF!</definedName>
    <definedName name="____________________________iii1" localSheetId="4">#REF!</definedName>
    <definedName name="____________________________iii1">#REF!</definedName>
    <definedName name="____________________________iv1" localSheetId="4">#REF!</definedName>
    <definedName name="____________________________iv1">#REF!</definedName>
    <definedName name="____________________________ix1" localSheetId="4">#REF!</definedName>
    <definedName name="____________________________ix1">#REF!</definedName>
    <definedName name="____________________________s1" localSheetId="4">#REF!</definedName>
    <definedName name="____________________________s1">#REF!</definedName>
    <definedName name="____________________________T100" localSheetId="4">#REF!</definedName>
    <definedName name="____________________________T100">#REF!</definedName>
    <definedName name="____________________________vi1" localSheetId="4">#REF!</definedName>
    <definedName name="____________________________vi1">#REF!</definedName>
    <definedName name="____________________________vii1" localSheetId="4">#REF!</definedName>
    <definedName name="____________________________vii1">#REF!</definedName>
    <definedName name="____________________________x1" localSheetId="4">#REF!</definedName>
    <definedName name="____________________________x1">#REF!</definedName>
    <definedName name="____________________________xi1" localSheetId="4">#REF!</definedName>
    <definedName name="____________________________xi1">#REF!</definedName>
    <definedName name="____________________________xv1" localSheetId="4">#REF!</definedName>
    <definedName name="____________________________xv1">#REF!</definedName>
    <definedName name="____________________________xx1" localSheetId="4">#REF!</definedName>
    <definedName name="____________________________xx1">#REF!</definedName>
    <definedName name="___________________________atr1" localSheetId="4">#REF!</definedName>
    <definedName name="___________________________atr1">#REF!</definedName>
    <definedName name="___________________________i1" localSheetId="4">#REF!</definedName>
    <definedName name="___________________________i1">#REF!</definedName>
    <definedName name="___________________________ii1" localSheetId="4">#REF!</definedName>
    <definedName name="___________________________ii1">#REF!</definedName>
    <definedName name="___________________________iii1" localSheetId="4">#REF!</definedName>
    <definedName name="___________________________iii1">#REF!</definedName>
    <definedName name="___________________________iv1" localSheetId="4">#REF!</definedName>
    <definedName name="___________________________iv1">#REF!</definedName>
    <definedName name="___________________________ix1" localSheetId="4">#REF!</definedName>
    <definedName name="___________________________ix1">#REF!</definedName>
    <definedName name="___________________________s1" localSheetId="4">#REF!</definedName>
    <definedName name="___________________________s1">#REF!</definedName>
    <definedName name="___________________________T100" localSheetId="4">#REF!</definedName>
    <definedName name="___________________________T100">#REF!</definedName>
    <definedName name="___________________________vi1" localSheetId="4">#REF!</definedName>
    <definedName name="___________________________vi1">#REF!</definedName>
    <definedName name="___________________________vii1" localSheetId="4">#REF!</definedName>
    <definedName name="___________________________vii1">#REF!</definedName>
    <definedName name="___________________________x1" localSheetId="4">#REF!</definedName>
    <definedName name="___________________________x1">#REF!</definedName>
    <definedName name="___________________________xi1" localSheetId="4">#REF!</definedName>
    <definedName name="___________________________xi1">#REF!</definedName>
    <definedName name="___________________________xv1" localSheetId="4">#REF!</definedName>
    <definedName name="___________________________xv1">#REF!</definedName>
    <definedName name="___________________________xx1" localSheetId="4">#REF!</definedName>
    <definedName name="___________________________xx1">#REF!</definedName>
    <definedName name="__________________________atr1" localSheetId="4">#REF!</definedName>
    <definedName name="__________________________atr1">#REF!</definedName>
    <definedName name="__________________________i1" localSheetId="4">#REF!</definedName>
    <definedName name="__________________________i1">#REF!</definedName>
    <definedName name="__________________________ii1" localSheetId="4">#REF!</definedName>
    <definedName name="__________________________ii1">#REF!</definedName>
    <definedName name="__________________________iii1" localSheetId="4">#REF!</definedName>
    <definedName name="__________________________iii1">#REF!</definedName>
    <definedName name="__________________________iv1" localSheetId="4">#REF!</definedName>
    <definedName name="__________________________iv1">#REF!</definedName>
    <definedName name="__________________________ix1" localSheetId="4">#REF!</definedName>
    <definedName name="__________________________ix1">#REF!</definedName>
    <definedName name="__________________________s1" localSheetId="4">#REF!</definedName>
    <definedName name="__________________________s1">#REF!</definedName>
    <definedName name="__________________________T100" localSheetId="4">#REF!</definedName>
    <definedName name="__________________________T100">#REF!</definedName>
    <definedName name="__________________________vi1" localSheetId="4">#REF!</definedName>
    <definedName name="__________________________vi1">#REF!</definedName>
    <definedName name="__________________________vii1" localSheetId="4">#REF!</definedName>
    <definedName name="__________________________vii1">#REF!</definedName>
    <definedName name="__________________________x1" localSheetId="4">#REF!</definedName>
    <definedName name="__________________________x1">#REF!</definedName>
    <definedName name="__________________________xi1" localSheetId="4">#REF!</definedName>
    <definedName name="__________________________xi1">#REF!</definedName>
    <definedName name="__________________________xv1" localSheetId="4">#REF!</definedName>
    <definedName name="__________________________xv1">#REF!</definedName>
    <definedName name="__________________________xx1" localSheetId="4">#REF!</definedName>
    <definedName name="__________________________xx1">#REF!</definedName>
    <definedName name="_________________________atr1" localSheetId="4">#REF!</definedName>
    <definedName name="_________________________atr1">#REF!</definedName>
    <definedName name="_________________________i1" localSheetId="4">#REF!</definedName>
    <definedName name="_________________________i1">#REF!</definedName>
    <definedName name="_________________________ii1" localSheetId="4">#REF!</definedName>
    <definedName name="_________________________ii1">#REF!</definedName>
    <definedName name="_________________________iii1" localSheetId="4">#REF!</definedName>
    <definedName name="_________________________iii1">#REF!</definedName>
    <definedName name="_________________________iv1" localSheetId="4">#REF!</definedName>
    <definedName name="_________________________iv1">#REF!</definedName>
    <definedName name="_________________________ix1" localSheetId="4">#REF!</definedName>
    <definedName name="_________________________ix1">#REF!</definedName>
    <definedName name="_________________________s1" localSheetId="4">#REF!</definedName>
    <definedName name="_________________________s1">#REF!</definedName>
    <definedName name="_________________________T100" localSheetId="4">#REF!</definedName>
    <definedName name="_________________________T100">#REF!</definedName>
    <definedName name="_________________________vi1" localSheetId="4">#REF!</definedName>
    <definedName name="_________________________vi1">#REF!</definedName>
    <definedName name="_________________________vii1" localSheetId="4">#REF!</definedName>
    <definedName name="_________________________vii1">#REF!</definedName>
    <definedName name="_________________________x1" localSheetId="4">#REF!</definedName>
    <definedName name="_________________________x1">#REF!</definedName>
    <definedName name="_________________________xi1" localSheetId="4">#REF!</definedName>
    <definedName name="_________________________xi1">#REF!</definedName>
    <definedName name="_________________________xv1" localSheetId="4">#REF!</definedName>
    <definedName name="_________________________xv1">#REF!</definedName>
    <definedName name="_________________________xx1" localSheetId="4">#REF!</definedName>
    <definedName name="_________________________xx1">#REF!</definedName>
    <definedName name="________________________atr1" localSheetId="4">#REF!</definedName>
    <definedName name="________________________atr1">#REF!</definedName>
    <definedName name="________________________i1" localSheetId="4">#REF!</definedName>
    <definedName name="________________________i1">#REF!</definedName>
    <definedName name="________________________ii1" localSheetId="4">#REF!</definedName>
    <definedName name="________________________ii1">#REF!</definedName>
    <definedName name="________________________iii1" localSheetId="4">#REF!</definedName>
    <definedName name="________________________iii1">#REF!</definedName>
    <definedName name="________________________iv1" localSheetId="4">#REF!</definedName>
    <definedName name="________________________iv1">#REF!</definedName>
    <definedName name="________________________ix1" localSheetId="4">#REF!</definedName>
    <definedName name="________________________ix1">#REF!</definedName>
    <definedName name="________________________s1" localSheetId="4">#REF!</definedName>
    <definedName name="________________________s1">#REF!</definedName>
    <definedName name="________________________T100" localSheetId="4">#REF!</definedName>
    <definedName name="________________________T100">#REF!</definedName>
    <definedName name="________________________vi1" localSheetId="4">#REF!</definedName>
    <definedName name="________________________vi1">#REF!</definedName>
    <definedName name="________________________vii1" localSheetId="4">#REF!</definedName>
    <definedName name="________________________vii1">#REF!</definedName>
    <definedName name="________________________x1" localSheetId="4">#REF!</definedName>
    <definedName name="________________________x1">#REF!</definedName>
    <definedName name="________________________xi1" localSheetId="4">#REF!</definedName>
    <definedName name="________________________xi1">#REF!</definedName>
    <definedName name="________________________xv1" localSheetId="4">#REF!</definedName>
    <definedName name="________________________xv1">#REF!</definedName>
    <definedName name="________________________xx1" localSheetId="4">#REF!</definedName>
    <definedName name="________________________xx1">#REF!</definedName>
    <definedName name="_______________________atr1" localSheetId="4">#REF!</definedName>
    <definedName name="_______________________atr1">#REF!</definedName>
    <definedName name="_______________________i1" localSheetId="4">#REF!</definedName>
    <definedName name="_______________________i1">#REF!</definedName>
    <definedName name="_______________________ii1" localSheetId="4">#REF!</definedName>
    <definedName name="_______________________ii1">#REF!</definedName>
    <definedName name="_______________________iii1" localSheetId="4">#REF!</definedName>
    <definedName name="_______________________iii1">#REF!</definedName>
    <definedName name="_______________________iv1" localSheetId="4">#REF!</definedName>
    <definedName name="_______________________iv1">#REF!</definedName>
    <definedName name="_______________________ix1" localSheetId="4">#REF!</definedName>
    <definedName name="_______________________ix1">#REF!</definedName>
    <definedName name="_______________________s1" localSheetId="4">#REF!</definedName>
    <definedName name="_______________________s1">#REF!</definedName>
    <definedName name="_______________________T100" localSheetId="4">#REF!</definedName>
    <definedName name="_______________________T100">#REF!</definedName>
    <definedName name="_______________________vi1" localSheetId="4">#REF!</definedName>
    <definedName name="_______________________vi1">#REF!</definedName>
    <definedName name="_______________________vii1" localSheetId="4">#REF!</definedName>
    <definedName name="_______________________vii1">#REF!</definedName>
    <definedName name="_______________________x1" localSheetId="4">#REF!</definedName>
    <definedName name="_______________________x1">#REF!</definedName>
    <definedName name="_______________________xi1" localSheetId="4">#REF!</definedName>
    <definedName name="_______________________xi1">#REF!</definedName>
    <definedName name="_______________________xv1" localSheetId="4">#REF!</definedName>
    <definedName name="_______________________xv1">#REF!</definedName>
    <definedName name="_______________________xx1" localSheetId="4">#REF!</definedName>
    <definedName name="_______________________xx1">#REF!</definedName>
    <definedName name="______________________atr1" localSheetId="4">#REF!</definedName>
    <definedName name="______________________atr1">#REF!</definedName>
    <definedName name="______________________i1" localSheetId="4">#REF!</definedName>
    <definedName name="______________________i1">#REF!</definedName>
    <definedName name="______________________ii1" localSheetId="4">#REF!</definedName>
    <definedName name="______________________ii1">#REF!</definedName>
    <definedName name="______________________iii1" localSheetId="4">#REF!</definedName>
    <definedName name="______________________iii1">#REF!</definedName>
    <definedName name="______________________iv1" localSheetId="4">#REF!</definedName>
    <definedName name="______________________iv1">#REF!</definedName>
    <definedName name="______________________ix1" localSheetId="4">#REF!</definedName>
    <definedName name="______________________ix1">#REF!</definedName>
    <definedName name="______________________s1" localSheetId="4">#REF!</definedName>
    <definedName name="______________________s1">#REF!</definedName>
    <definedName name="______________________T100" localSheetId="4">#REF!</definedName>
    <definedName name="______________________T100">#REF!</definedName>
    <definedName name="______________________vi1" localSheetId="4">#REF!</definedName>
    <definedName name="______________________vi1">#REF!</definedName>
    <definedName name="______________________vii1" localSheetId="4">#REF!</definedName>
    <definedName name="______________________vii1">#REF!</definedName>
    <definedName name="______________________x1" localSheetId="4">#REF!</definedName>
    <definedName name="______________________x1">#REF!</definedName>
    <definedName name="______________________xi1" localSheetId="4">#REF!</definedName>
    <definedName name="______________________xi1">#REF!</definedName>
    <definedName name="______________________xv1" localSheetId="4">#REF!</definedName>
    <definedName name="______________________xv1">#REF!</definedName>
    <definedName name="______________________xx1" localSheetId="4">#REF!</definedName>
    <definedName name="______________________xx1">#REF!</definedName>
    <definedName name="_____________________atr1" localSheetId="4">#REF!</definedName>
    <definedName name="_____________________atr1">#REF!</definedName>
    <definedName name="_____________________i1" localSheetId="4">#REF!</definedName>
    <definedName name="_____________________i1">#REF!</definedName>
    <definedName name="_____________________ii1" localSheetId="4">#REF!</definedName>
    <definedName name="_____________________ii1">#REF!</definedName>
    <definedName name="_____________________iii1" localSheetId="4">#REF!</definedName>
    <definedName name="_____________________iii1">#REF!</definedName>
    <definedName name="_____________________iv1" localSheetId="4">#REF!</definedName>
    <definedName name="_____________________iv1">#REF!</definedName>
    <definedName name="_____________________ix1" localSheetId="4">#REF!</definedName>
    <definedName name="_____________________ix1">#REF!</definedName>
    <definedName name="_____________________s1" localSheetId="4">#REF!</definedName>
    <definedName name="_____________________s1">#REF!</definedName>
    <definedName name="_____________________T100" localSheetId="4">#REF!</definedName>
    <definedName name="_____________________T100">#REF!</definedName>
    <definedName name="_____________________vi1" localSheetId="4">#REF!</definedName>
    <definedName name="_____________________vi1">#REF!</definedName>
    <definedName name="_____________________vii1" localSheetId="4">#REF!</definedName>
    <definedName name="_____________________vii1">#REF!</definedName>
    <definedName name="_____________________x1" localSheetId="4">#REF!</definedName>
    <definedName name="_____________________x1">#REF!</definedName>
    <definedName name="_____________________xi1" localSheetId="4">#REF!</definedName>
    <definedName name="_____________________xi1">#REF!</definedName>
    <definedName name="_____________________xv1" localSheetId="4">#REF!</definedName>
    <definedName name="_____________________xv1">#REF!</definedName>
    <definedName name="_____________________xx1" localSheetId="4">#REF!</definedName>
    <definedName name="_____________________xx1">#REF!</definedName>
    <definedName name="____________________atr1" localSheetId="4">#REF!</definedName>
    <definedName name="____________________atr1">#REF!</definedName>
    <definedName name="____________________i1" localSheetId="4">#REF!</definedName>
    <definedName name="____________________i1">#REF!</definedName>
    <definedName name="____________________ii1" localSheetId="4">#REF!</definedName>
    <definedName name="____________________ii1">#REF!</definedName>
    <definedName name="____________________iii1" localSheetId="4">#REF!</definedName>
    <definedName name="____________________iii1">#REF!</definedName>
    <definedName name="____________________iv1" localSheetId="4">#REF!</definedName>
    <definedName name="____________________iv1">#REF!</definedName>
    <definedName name="____________________ix1" localSheetId="4">#REF!</definedName>
    <definedName name="____________________ix1">#REF!</definedName>
    <definedName name="____________________s1" localSheetId="4">#REF!</definedName>
    <definedName name="____________________s1">#REF!</definedName>
    <definedName name="____________________T100" localSheetId="4">#REF!</definedName>
    <definedName name="____________________T100">#REF!</definedName>
    <definedName name="____________________vi1" localSheetId="4">#REF!</definedName>
    <definedName name="____________________vi1">#REF!</definedName>
    <definedName name="____________________vii1" localSheetId="4">#REF!</definedName>
    <definedName name="____________________vii1">#REF!</definedName>
    <definedName name="____________________x1" localSheetId="4">#REF!</definedName>
    <definedName name="____________________x1">#REF!</definedName>
    <definedName name="____________________xi1" localSheetId="4">#REF!</definedName>
    <definedName name="____________________xi1">#REF!</definedName>
    <definedName name="____________________xv1" localSheetId="4">#REF!</definedName>
    <definedName name="____________________xv1">#REF!</definedName>
    <definedName name="____________________xx1" localSheetId="4">#REF!</definedName>
    <definedName name="____________________xx1">#REF!</definedName>
    <definedName name="___________________atr1" localSheetId="4">#REF!</definedName>
    <definedName name="___________________atr1">#REF!</definedName>
    <definedName name="___________________i1" localSheetId="4">#REF!</definedName>
    <definedName name="___________________i1">#REF!</definedName>
    <definedName name="___________________ii1" localSheetId="4">#REF!</definedName>
    <definedName name="___________________ii1">#REF!</definedName>
    <definedName name="___________________iii1" localSheetId="4">#REF!</definedName>
    <definedName name="___________________iii1">#REF!</definedName>
    <definedName name="___________________iv1" localSheetId="4">#REF!</definedName>
    <definedName name="___________________iv1">#REF!</definedName>
    <definedName name="___________________ix1" localSheetId="4">#REF!</definedName>
    <definedName name="___________________ix1">#REF!</definedName>
    <definedName name="___________________s1" localSheetId="4">#REF!</definedName>
    <definedName name="___________________s1">#REF!</definedName>
    <definedName name="___________________T100" localSheetId="4">#REF!</definedName>
    <definedName name="___________________T100">#REF!</definedName>
    <definedName name="___________________vi1" localSheetId="4">#REF!</definedName>
    <definedName name="___________________vi1">#REF!</definedName>
    <definedName name="___________________vii1" localSheetId="4">#REF!</definedName>
    <definedName name="___________________vii1">#REF!</definedName>
    <definedName name="___________________x1" localSheetId="4">#REF!</definedName>
    <definedName name="___________________x1">#REF!</definedName>
    <definedName name="___________________xi1" localSheetId="4">#REF!</definedName>
    <definedName name="___________________xi1">#REF!</definedName>
    <definedName name="___________________xv1" localSheetId="4">#REF!</definedName>
    <definedName name="___________________xv1">#REF!</definedName>
    <definedName name="___________________xx1" localSheetId="4">#REF!</definedName>
    <definedName name="___________________xx1">#REF!</definedName>
    <definedName name="__________________atr1" localSheetId="4">#REF!</definedName>
    <definedName name="__________________atr1">#REF!</definedName>
    <definedName name="__________________i1" localSheetId="4">#REF!</definedName>
    <definedName name="__________________i1">#REF!</definedName>
    <definedName name="__________________ii1" localSheetId="4">#REF!</definedName>
    <definedName name="__________________ii1">#REF!</definedName>
    <definedName name="__________________iii1" localSheetId="4">#REF!</definedName>
    <definedName name="__________________iii1">#REF!</definedName>
    <definedName name="__________________iv1" localSheetId="4">#REF!</definedName>
    <definedName name="__________________iv1">#REF!</definedName>
    <definedName name="__________________ix1" localSheetId="4">#REF!</definedName>
    <definedName name="__________________ix1">#REF!</definedName>
    <definedName name="__________________s1" localSheetId="4">#REF!</definedName>
    <definedName name="__________________s1">#REF!</definedName>
    <definedName name="__________________T100" localSheetId="4">#REF!</definedName>
    <definedName name="__________________T100">#REF!</definedName>
    <definedName name="__________________vi1" localSheetId="4">#REF!</definedName>
    <definedName name="__________________vi1">#REF!</definedName>
    <definedName name="__________________vii1" localSheetId="4">#REF!</definedName>
    <definedName name="__________________vii1">#REF!</definedName>
    <definedName name="__________________x1" localSheetId="4">#REF!</definedName>
    <definedName name="__________________x1">#REF!</definedName>
    <definedName name="__________________xi1" localSheetId="4">#REF!</definedName>
    <definedName name="__________________xi1">#REF!</definedName>
    <definedName name="__________________xv1" localSheetId="4">#REF!</definedName>
    <definedName name="__________________xv1">#REF!</definedName>
    <definedName name="__________________xx1" localSheetId="4">#REF!</definedName>
    <definedName name="__________________xx1">#REF!</definedName>
    <definedName name="_________________atr1" localSheetId="4">#REF!</definedName>
    <definedName name="_________________atr1">#REF!</definedName>
    <definedName name="_________________i1" localSheetId="4">#REF!</definedName>
    <definedName name="_________________i1">#REF!</definedName>
    <definedName name="_________________ii1" localSheetId="4">#REF!</definedName>
    <definedName name="_________________ii1">#REF!</definedName>
    <definedName name="_________________iii1" localSheetId="4">#REF!</definedName>
    <definedName name="_________________iii1">#REF!</definedName>
    <definedName name="_________________iv1" localSheetId="4">#REF!</definedName>
    <definedName name="_________________iv1">#REF!</definedName>
    <definedName name="_________________ix1" localSheetId="4">#REF!</definedName>
    <definedName name="_________________ix1">#REF!</definedName>
    <definedName name="_________________s1" localSheetId="4">#REF!</definedName>
    <definedName name="_________________s1">#REF!</definedName>
    <definedName name="_________________T100" localSheetId="4">#REF!</definedName>
    <definedName name="_________________T100">#REF!</definedName>
    <definedName name="_________________vi1" localSheetId="4">#REF!</definedName>
    <definedName name="_________________vi1">#REF!</definedName>
    <definedName name="_________________vii1" localSheetId="4">#REF!</definedName>
    <definedName name="_________________vii1">#REF!</definedName>
    <definedName name="_________________x1" localSheetId="4">#REF!</definedName>
    <definedName name="_________________x1">#REF!</definedName>
    <definedName name="_________________xi1" localSheetId="4">#REF!</definedName>
    <definedName name="_________________xi1">#REF!</definedName>
    <definedName name="_________________xv1" localSheetId="4">#REF!</definedName>
    <definedName name="_________________xv1">#REF!</definedName>
    <definedName name="_________________xx1" localSheetId="4">#REF!</definedName>
    <definedName name="_________________xx1">#REF!</definedName>
    <definedName name="________________atr1" localSheetId="4">#REF!</definedName>
    <definedName name="________________atr1">#REF!</definedName>
    <definedName name="________________i1" localSheetId="4">#REF!</definedName>
    <definedName name="________________i1">#REF!</definedName>
    <definedName name="________________ii1" localSheetId="4">#REF!</definedName>
    <definedName name="________________ii1">#REF!</definedName>
    <definedName name="________________iii1" localSheetId="4">#REF!</definedName>
    <definedName name="________________iii1">#REF!</definedName>
    <definedName name="________________iv1" localSheetId="4">#REF!</definedName>
    <definedName name="________________iv1">#REF!</definedName>
    <definedName name="________________ix1" localSheetId="4">#REF!</definedName>
    <definedName name="________________ix1">#REF!</definedName>
    <definedName name="________________s1" localSheetId="4">#REF!</definedName>
    <definedName name="________________s1">#REF!</definedName>
    <definedName name="________________T100" localSheetId="4">#REF!</definedName>
    <definedName name="________________T100">#REF!</definedName>
    <definedName name="________________vi1" localSheetId="4">#REF!</definedName>
    <definedName name="________________vi1">#REF!</definedName>
    <definedName name="________________vii1" localSheetId="4">#REF!</definedName>
    <definedName name="________________vii1">#REF!</definedName>
    <definedName name="________________x1" localSheetId="4">#REF!</definedName>
    <definedName name="________________x1">#REF!</definedName>
    <definedName name="________________xi1" localSheetId="4">#REF!</definedName>
    <definedName name="________________xi1">#REF!</definedName>
    <definedName name="________________xv1" localSheetId="4">#REF!</definedName>
    <definedName name="________________xv1">#REF!</definedName>
    <definedName name="________________xx1" localSheetId="4">#REF!</definedName>
    <definedName name="________________xx1">#REF!</definedName>
    <definedName name="_______________atr1" localSheetId="4">#REF!</definedName>
    <definedName name="_______________atr1">#REF!</definedName>
    <definedName name="_______________i1" localSheetId="4">#REF!</definedName>
    <definedName name="_______________i1">#REF!</definedName>
    <definedName name="_______________ii1" localSheetId="4">#REF!</definedName>
    <definedName name="_______________ii1">#REF!</definedName>
    <definedName name="_______________iii1" localSheetId="4">#REF!</definedName>
    <definedName name="_______________iii1">#REF!</definedName>
    <definedName name="_______________iv1" localSheetId="4">#REF!</definedName>
    <definedName name="_______________iv1">#REF!</definedName>
    <definedName name="_______________ix1" localSheetId="4">#REF!</definedName>
    <definedName name="_______________ix1">#REF!</definedName>
    <definedName name="_______________s1" localSheetId="4">#REF!</definedName>
    <definedName name="_______________s1">#REF!</definedName>
    <definedName name="_______________T100" localSheetId="4">#REF!</definedName>
    <definedName name="_______________T100">#REF!</definedName>
    <definedName name="_______________vi1" localSheetId="4">#REF!</definedName>
    <definedName name="_______________vi1">#REF!</definedName>
    <definedName name="_______________vii1" localSheetId="4">#REF!</definedName>
    <definedName name="_______________vii1">#REF!</definedName>
    <definedName name="_______________x1" localSheetId="4">#REF!</definedName>
    <definedName name="_______________x1">#REF!</definedName>
    <definedName name="_______________xi1" localSheetId="4">#REF!</definedName>
    <definedName name="_______________xi1">#REF!</definedName>
    <definedName name="_______________xv1" localSheetId="4">#REF!</definedName>
    <definedName name="_______________xv1">#REF!</definedName>
    <definedName name="_______________xx1" localSheetId="4">#REF!</definedName>
    <definedName name="_______________xx1">#REF!</definedName>
    <definedName name="______________atr1" localSheetId="4">#REF!</definedName>
    <definedName name="______________atr1">#REF!</definedName>
    <definedName name="______________i1" localSheetId="4">#REF!</definedName>
    <definedName name="______________i1">#REF!</definedName>
    <definedName name="______________ii1" localSheetId="4">#REF!</definedName>
    <definedName name="______________ii1">#REF!</definedName>
    <definedName name="______________iii1" localSheetId="4">#REF!</definedName>
    <definedName name="______________iii1">#REF!</definedName>
    <definedName name="______________iv1" localSheetId="4">#REF!</definedName>
    <definedName name="______________iv1">#REF!</definedName>
    <definedName name="______________ix1" localSheetId="4">#REF!</definedName>
    <definedName name="______________ix1">#REF!</definedName>
    <definedName name="______________s1" localSheetId="4">#REF!</definedName>
    <definedName name="______________s1">#REF!</definedName>
    <definedName name="______________T100" localSheetId="4">#REF!</definedName>
    <definedName name="______________T100">#REF!</definedName>
    <definedName name="______________vi1" localSheetId="4">#REF!</definedName>
    <definedName name="______________vi1">#REF!</definedName>
    <definedName name="______________vii1" localSheetId="4">#REF!</definedName>
    <definedName name="______________vii1">#REF!</definedName>
    <definedName name="______________x1" localSheetId="4">#REF!</definedName>
    <definedName name="______________x1">#REF!</definedName>
    <definedName name="______________xi1" localSheetId="4">#REF!</definedName>
    <definedName name="______________xi1">#REF!</definedName>
    <definedName name="______________xv1" localSheetId="4">#REF!</definedName>
    <definedName name="______________xv1">#REF!</definedName>
    <definedName name="______________xx1" localSheetId="4">#REF!</definedName>
    <definedName name="______________xx1">#REF!</definedName>
    <definedName name="_____________atr1" localSheetId="4">#REF!</definedName>
    <definedName name="_____________atr1">#REF!</definedName>
    <definedName name="_____________i1" localSheetId="4">#REF!</definedName>
    <definedName name="_____________i1">#REF!</definedName>
    <definedName name="_____________ii1" localSheetId="4">#REF!</definedName>
    <definedName name="_____________ii1">#REF!</definedName>
    <definedName name="_____________iii1" localSheetId="4">#REF!</definedName>
    <definedName name="_____________iii1">#REF!</definedName>
    <definedName name="_____________iv1" localSheetId="4">#REF!</definedName>
    <definedName name="_____________iv1">#REF!</definedName>
    <definedName name="_____________ix1" localSheetId="4">#REF!</definedName>
    <definedName name="_____________ix1">#REF!</definedName>
    <definedName name="_____________s1" localSheetId="4">#REF!</definedName>
    <definedName name="_____________s1">#REF!</definedName>
    <definedName name="_____________T100" localSheetId="4">#REF!</definedName>
    <definedName name="_____________T100">#REF!</definedName>
    <definedName name="_____________vi1" localSheetId="4">#REF!</definedName>
    <definedName name="_____________vi1">#REF!</definedName>
    <definedName name="_____________vii1" localSheetId="4">#REF!</definedName>
    <definedName name="_____________vii1">#REF!</definedName>
    <definedName name="_____________x1" localSheetId="4">#REF!</definedName>
    <definedName name="_____________x1">#REF!</definedName>
    <definedName name="_____________xi1" localSheetId="4">#REF!</definedName>
    <definedName name="_____________xi1">#REF!</definedName>
    <definedName name="_____________xv1" localSheetId="4">#REF!</definedName>
    <definedName name="_____________xv1">#REF!</definedName>
    <definedName name="_____________xx1" localSheetId="4">#REF!</definedName>
    <definedName name="_____________xx1">#REF!</definedName>
    <definedName name="____________atr1" localSheetId="4">#REF!</definedName>
    <definedName name="____________atr1">#REF!</definedName>
    <definedName name="____________i1" localSheetId="4">#REF!</definedName>
    <definedName name="____________i1">#REF!</definedName>
    <definedName name="____________ii1" localSheetId="4">#REF!</definedName>
    <definedName name="____________ii1">#REF!</definedName>
    <definedName name="____________iii1" localSheetId="4">#REF!</definedName>
    <definedName name="____________iii1">#REF!</definedName>
    <definedName name="____________iv1" localSheetId="4">#REF!</definedName>
    <definedName name="____________iv1">#REF!</definedName>
    <definedName name="____________ix1" localSheetId="4">#REF!</definedName>
    <definedName name="____________ix1">#REF!</definedName>
    <definedName name="____________s1" localSheetId="4">#REF!</definedName>
    <definedName name="____________s1">#REF!</definedName>
    <definedName name="____________T100" localSheetId="4">#REF!</definedName>
    <definedName name="____________T100">#REF!</definedName>
    <definedName name="____________vi1" localSheetId="4">#REF!</definedName>
    <definedName name="____________vi1">#REF!</definedName>
    <definedName name="____________vii1" localSheetId="4">#REF!</definedName>
    <definedName name="____________vii1">#REF!</definedName>
    <definedName name="____________x1" localSheetId="4">#REF!</definedName>
    <definedName name="____________x1">#REF!</definedName>
    <definedName name="____________xi1" localSheetId="4">#REF!</definedName>
    <definedName name="____________xi1">#REF!</definedName>
    <definedName name="____________xv1" localSheetId="4">#REF!</definedName>
    <definedName name="____________xv1">#REF!</definedName>
    <definedName name="____________xx1" localSheetId="4">#REF!</definedName>
    <definedName name="____________xx1">#REF!</definedName>
    <definedName name="___________atr1" localSheetId="4">#REF!</definedName>
    <definedName name="___________atr1">#REF!</definedName>
    <definedName name="___________i1" localSheetId="4">#REF!</definedName>
    <definedName name="___________i1">#REF!</definedName>
    <definedName name="___________ii1" localSheetId="4">#REF!</definedName>
    <definedName name="___________ii1">#REF!</definedName>
    <definedName name="___________iii1" localSheetId="4">#REF!</definedName>
    <definedName name="___________iii1">#REF!</definedName>
    <definedName name="___________iv1" localSheetId="4">#REF!</definedName>
    <definedName name="___________iv1">#REF!</definedName>
    <definedName name="___________ix1" localSheetId="4">#REF!</definedName>
    <definedName name="___________ix1">#REF!</definedName>
    <definedName name="___________s1" localSheetId="4">#REF!</definedName>
    <definedName name="___________s1">#REF!</definedName>
    <definedName name="___________T100" localSheetId="4">#REF!</definedName>
    <definedName name="___________T100">#REF!</definedName>
    <definedName name="___________vi1" localSheetId="4">#REF!</definedName>
    <definedName name="___________vi1">#REF!</definedName>
    <definedName name="___________vii1" localSheetId="4">#REF!</definedName>
    <definedName name="___________vii1">#REF!</definedName>
    <definedName name="___________x1" localSheetId="4">#REF!</definedName>
    <definedName name="___________x1">#REF!</definedName>
    <definedName name="___________xi1" localSheetId="4">#REF!</definedName>
    <definedName name="___________xi1">#REF!</definedName>
    <definedName name="___________xv1" localSheetId="4">#REF!</definedName>
    <definedName name="___________xv1">#REF!</definedName>
    <definedName name="___________xx1" localSheetId="4">#REF!</definedName>
    <definedName name="___________xx1">#REF!</definedName>
    <definedName name="__________atr1" localSheetId="4">#REF!</definedName>
    <definedName name="__________atr1">#REF!</definedName>
    <definedName name="__________i1" localSheetId="4">#REF!</definedName>
    <definedName name="__________i1">#REF!</definedName>
    <definedName name="__________ii1" localSheetId="4">#REF!</definedName>
    <definedName name="__________ii1">#REF!</definedName>
    <definedName name="__________iii1" localSheetId="4">#REF!</definedName>
    <definedName name="__________iii1">#REF!</definedName>
    <definedName name="__________iv1" localSheetId="4">#REF!</definedName>
    <definedName name="__________iv1">#REF!</definedName>
    <definedName name="__________ix1" localSheetId="4">#REF!</definedName>
    <definedName name="__________ix1">#REF!</definedName>
    <definedName name="__________s1" localSheetId="4">#REF!</definedName>
    <definedName name="__________s1">#REF!</definedName>
    <definedName name="__________T100" localSheetId="4">#REF!</definedName>
    <definedName name="__________T100">#REF!</definedName>
    <definedName name="__________vi1" localSheetId="4">#REF!</definedName>
    <definedName name="__________vi1">#REF!</definedName>
    <definedName name="__________vii1" localSheetId="4">#REF!</definedName>
    <definedName name="__________vii1">#REF!</definedName>
    <definedName name="__________x1" localSheetId="4">#REF!</definedName>
    <definedName name="__________x1">#REF!</definedName>
    <definedName name="__________xi1" localSheetId="4">#REF!</definedName>
    <definedName name="__________xi1">#REF!</definedName>
    <definedName name="__________xv1" localSheetId="4">#REF!</definedName>
    <definedName name="__________xv1">#REF!</definedName>
    <definedName name="__________xx1" localSheetId="4">#REF!</definedName>
    <definedName name="__________xx1">#REF!</definedName>
    <definedName name="_________atr1" localSheetId="4">#REF!</definedName>
    <definedName name="_________atr1">#REF!</definedName>
    <definedName name="_________i1" localSheetId="4">#REF!</definedName>
    <definedName name="_________i1">#REF!</definedName>
    <definedName name="_________ii1" localSheetId="4">#REF!</definedName>
    <definedName name="_________ii1">#REF!</definedName>
    <definedName name="_________iii1" localSheetId="4">#REF!</definedName>
    <definedName name="_________iii1">#REF!</definedName>
    <definedName name="_________iv1" localSheetId="4">#REF!</definedName>
    <definedName name="_________iv1">#REF!</definedName>
    <definedName name="_________ix1" localSheetId="4">#REF!</definedName>
    <definedName name="_________ix1">#REF!</definedName>
    <definedName name="_________s1" localSheetId="4">#REF!</definedName>
    <definedName name="_________s1">#REF!</definedName>
    <definedName name="_________T100" localSheetId="4">#REF!</definedName>
    <definedName name="_________T100">#REF!</definedName>
    <definedName name="_________vi1" localSheetId="4">#REF!</definedName>
    <definedName name="_________vi1">#REF!</definedName>
    <definedName name="_________vii1" localSheetId="4">#REF!</definedName>
    <definedName name="_________vii1">#REF!</definedName>
    <definedName name="_________x1" localSheetId="4">#REF!</definedName>
    <definedName name="_________x1">#REF!</definedName>
    <definedName name="_________xi1" localSheetId="4">#REF!</definedName>
    <definedName name="_________xi1">#REF!</definedName>
    <definedName name="_________xv1" localSheetId="4">#REF!</definedName>
    <definedName name="_________xv1">#REF!</definedName>
    <definedName name="_________xx1" localSheetId="4">#REF!</definedName>
    <definedName name="_________xx1">#REF!</definedName>
    <definedName name="________atr1" localSheetId="4">#REF!</definedName>
    <definedName name="________atr1">#REF!</definedName>
    <definedName name="________i1" localSheetId="4">#REF!</definedName>
    <definedName name="________i1">#REF!</definedName>
    <definedName name="________ii1" localSheetId="4">#REF!</definedName>
    <definedName name="________ii1">#REF!</definedName>
    <definedName name="________iii1" localSheetId="4">#REF!</definedName>
    <definedName name="________iii1">#REF!</definedName>
    <definedName name="________iv1" localSheetId="4">#REF!</definedName>
    <definedName name="________iv1">#REF!</definedName>
    <definedName name="________ix1" localSheetId="4">#REF!</definedName>
    <definedName name="________ix1">#REF!</definedName>
    <definedName name="________s1" localSheetId="4">#REF!</definedName>
    <definedName name="________s1">#REF!</definedName>
    <definedName name="________T100" localSheetId="4">#REF!</definedName>
    <definedName name="________T100">#REF!</definedName>
    <definedName name="________vi1" localSheetId="4">#REF!</definedName>
    <definedName name="________vi1">#REF!</definedName>
    <definedName name="________vii1" localSheetId="4">#REF!</definedName>
    <definedName name="________vii1">#REF!</definedName>
    <definedName name="________x1" localSheetId="4">#REF!</definedName>
    <definedName name="________x1">#REF!</definedName>
    <definedName name="________xi1" localSheetId="4">#REF!</definedName>
    <definedName name="________xi1">#REF!</definedName>
    <definedName name="________xv1" localSheetId="4">#REF!</definedName>
    <definedName name="________xv1">#REF!</definedName>
    <definedName name="________xx1" localSheetId="4">#REF!</definedName>
    <definedName name="________xx1">#REF!</definedName>
    <definedName name="_______atr1" localSheetId="4">#REF!</definedName>
    <definedName name="_______atr1">#REF!</definedName>
    <definedName name="_______i1" localSheetId="4">#REF!</definedName>
    <definedName name="_______i1">#REF!</definedName>
    <definedName name="_______ii1" localSheetId="4">#REF!</definedName>
    <definedName name="_______ii1">#REF!</definedName>
    <definedName name="_______iii1" localSheetId="4">#REF!</definedName>
    <definedName name="_______iii1">#REF!</definedName>
    <definedName name="_______iv1" localSheetId="4">#REF!</definedName>
    <definedName name="_______iv1">#REF!</definedName>
    <definedName name="_______ix1" localSheetId="4">#REF!</definedName>
    <definedName name="_______ix1">#REF!</definedName>
    <definedName name="_______s1" localSheetId="4">#REF!</definedName>
    <definedName name="_______s1">#REF!</definedName>
    <definedName name="_______T100" localSheetId="4">#REF!</definedName>
    <definedName name="_______T100">#REF!</definedName>
    <definedName name="_______vi1" localSheetId="4">#REF!</definedName>
    <definedName name="_______vi1">#REF!</definedName>
    <definedName name="_______vii1" localSheetId="4">#REF!</definedName>
    <definedName name="_______vii1">#REF!</definedName>
    <definedName name="_______x1" localSheetId="4">#REF!</definedName>
    <definedName name="_______x1">#REF!</definedName>
    <definedName name="_______xi1" localSheetId="4">#REF!</definedName>
    <definedName name="_______xi1">#REF!</definedName>
    <definedName name="_______xv1" localSheetId="4">#REF!</definedName>
    <definedName name="_______xv1">#REF!</definedName>
    <definedName name="_______xx1" localSheetId="4">#REF!</definedName>
    <definedName name="_______xx1">#REF!</definedName>
    <definedName name="______atr1" localSheetId="4">#REF!</definedName>
    <definedName name="______atr1">#REF!</definedName>
    <definedName name="______i1" localSheetId="4">#REF!</definedName>
    <definedName name="______i1">#REF!</definedName>
    <definedName name="______ii1" localSheetId="4">#REF!</definedName>
    <definedName name="______ii1">#REF!</definedName>
    <definedName name="______iii1" localSheetId="4">#REF!</definedName>
    <definedName name="______iii1">#REF!</definedName>
    <definedName name="______iv1" localSheetId="4">#REF!</definedName>
    <definedName name="______iv1">#REF!</definedName>
    <definedName name="______ix1" localSheetId="4">#REF!</definedName>
    <definedName name="______ix1">#REF!</definedName>
    <definedName name="______s1" localSheetId="4">#REF!</definedName>
    <definedName name="______s1">#REF!</definedName>
    <definedName name="______T100" localSheetId="4">#REF!</definedName>
    <definedName name="______T100">#REF!</definedName>
    <definedName name="______vi1" localSheetId="4">#REF!</definedName>
    <definedName name="______vi1">#REF!</definedName>
    <definedName name="______vii1" localSheetId="4">#REF!</definedName>
    <definedName name="______vii1">#REF!</definedName>
    <definedName name="______x1" localSheetId="4">#REF!</definedName>
    <definedName name="______x1">#REF!</definedName>
    <definedName name="______xi1" localSheetId="4">#REF!</definedName>
    <definedName name="______xi1">#REF!</definedName>
    <definedName name="______xv1" localSheetId="4">#REF!</definedName>
    <definedName name="______xv1">#REF!</definedName>
    <definedName name="______xx1" localSheetId="4">#REF!</definedName>
    <definedName name="______xx1">#REF!</definedName>
    <definedName name="_____atr1" localSheetId="4">#REF!</definedName>
    <definedName name="_____atr1">#REF!</definedName>
    <definedName name="_____i1" localSheetId="4">#REF!</definedName>
    <definedName name="_____i1">#REF!</definedName>
    <definedName name="_____ii1" localSheetId="4">#REF!</definedName>
    <definedName name="_____ii1">#REF!</definedName>
    <definedName name="_____iii1" localSheetId="4">#REF!</definedName>
    <definedName name="_____iii1">#REF!</definedName>
    <definedName name="_____iv1" localSheetId="4">#REF!</definedName>
    <definedName name="_____iv1">#REF!</definedName>
    <definedName name="_____ix1" localSheetId="4">#REF!</definedName>
    <definedName name="_____ix1">#REF!</definedName>
    <definedName name="_____s1" localSheetId="4">#REF!</definedName>
    <definedName name="_____s1">#REF!</definedName>
    <definedName name="_____T100" localSheetId="4">#REF!</definedName>
    <definedName name="_____T100">#REF!</definedName>
    <definedName name="_____vi1" localSheetId="4">#REF!</definedName>
    <definedName name="_____vi1">#REF!</definedName>
    <definedName name="_____vii1" localSheetId="4">#REF!</definedName>
    <definedName name="_____vii1">#REF!</definedName>
    <definedName name="_____x1" localSheetId="4">#REF!</definedName>
    <definedName name="_____x1">#REF!</definedName>
    <definedName name="_____xi1" localSheetId="4">#REF!</definedName>
    <definedName name="_____xi1">#REF!</definedName>
    <definedName name="_____xv1" localSheetId="4">#REF!</definedName>
    <definedName name="_____xv1">#REF!</definedName>
    <definedName name="_____xx1" localSheetId="4">#REF!</definedName>
    <definedName name="_____xx1">#REF!</definedName>
    <definedName name="____atr1" localSheetId="4">#REF!</definedName>
    <definedName name="____atr1">#REF!</definedName>
    <definedName name="____i1" localSheetId="4">#REF!</definedName>
    <definedName name="____i1">#REF!</definedName>
    <definedName name="____ii1" localSheetId="4">#REF!</definedName>
    <definedName name="____ii1">#REF!</definedName>
    <definedName name="____iii1" localSheetId="4">#REF!</definedName>
    <definedName name="____iii1">#REF!</definedName>
    <definedName name="____iv1" localSheetId="4">#REF!</definedName>
    <definedName name="____iv1">#REF!</definedName>
    <definedName name="____ix1" localSheetId="4">#REF!</definedName>
    <definedName name="____ix1">#REF!</definedName>
    <definedName name="____s1" localSheetId="4">#REF!</definedName>
    <definedName name="____s1">#REF!</definedName>
    <definedName name="____T100" localSheetId="4">#REF!</definedName>
    <definedName name="____T100">#REF!</definedName>
    <definedName name="____vi1" localSheetId="4">#REF!</definedName>
    <definedName name="____vi1">#REF!</definedName>
    <definedName name="____vii1" localSheetId="4">#REF!</definedName>
    <definedName name="____vii1">#REF!</definedName>
    <definedName name="____x1" localSheetId="4">#REF!</definedName>
    <definedName name="____x1">#REF!</definedName>
    <definedName name="____xi1" localSheetId="4">#REF!</definedName>
    <definedName name="____xi1">#REF!</definedName>
    <definedName name="____xv1" localSheetId="4">#REF!</definedName>
    <definedName name="____xv1">#REF!</definedName>
    <definedName name="____xx1" localSheetId="4">#REF!</definedName>
    <definedName name="____xx1">#REF!</definedName>
    <definedName name="___atr1" localSheetId="4">#REF!</definedName>
    <definedName name="___atr1">#REF!</definedName>
    <definedName name="___i1" localSheetId="4">#REF!</definedName>
    <definedName name="___i1">#REF!</definedName>
    <definedName name="___ii1" localSheetId="4">#REF!</definedName>
    <definedName name="___ii1">#REF!</definedName>
    <definedName name="___iii1" localSheetId="4">#REF!</definedName>
    <definedName name="___iii1">#REF!</definedName>
    <definedName name="___iv1" localSheetId="4">#REF!</definedName>
    <definedName name="___iv1">#REF!</definedName>
    <definedName name="___ix1" localSheetId="4">#REF!</definedName>
    <definedName name="___ix1">#REF!</definedName>
    <definedName name="___s1" localSheetId="4">#REF!</definedName>
    <definedName name="___s1">#REF!</definedName>
    <definedName name="___T100" localSheetId="4">#REF!</definedName>
    <definedName name="___T100">#REF!</definedName>
    <definedName name="___vi1" localSheetId="4">#REF!</definedName>
    <definedName name="___vi1">#REF!</definedName>
    <definedName name="___vii1" localSheetId="4">#REF!</definedName>
    <definedName name="___vii1">#REF!</definedName>
    <definedName name="___x1" localSheetId="4">#REF!</definedName>
    <definedName name="___x1">#REF!</definedName>
    <definedName name="___xi1" localSheetId="4">#REF!</definedName>
    <definedName name="___xi1">#REF!</definedName>
    <definedName name="___xv1" localSheetId="4">#REF!</definedName>
    <definedName name="___xv1">#REF!</definedName>
    <definedName name="___xx1" localSheetId="4">#REF!</definedName>
    <definedName name="___xx1">#REF!</definedName>
    <definedName name="__atr1" localSheetId="4">#REF!</definedName>
    <definedName name="__atr1">#REF!</definedName>
    <definedName name="__i1" localSheetId="4">#REF!</definedName>
    <definedName name="__i1">#REF!</definedName>
    <definedName name="__ii1" localSheetId="4">#REF!</definedName>
    <definedName name="__ii1">#REF!</definedName>
    <definedName name="__iii1" localSheetId="4">#REF!</definedName>
    <definedName name="__iii1">#REF!</definedName>
    <definedName name="__iv1" localSheetId="4">#REF!</definedName>
    <definedName name="__iv1">#REF!</definedName>
    <definedName name="__ix1" localSheetId="4">#REF!</definedName>
    <definedName name="__ix1">#REF!</definedName>
    <definedName name="__s1" localSheetId="4">#REF!</definedName>
    <definedName name="__s1">#REF!</definedName>
    <definedName name="__T100" localSheetId="4">#REF!</definedName>
    <definedName name="__T100">#REF!</definedName>
    <definedName name="__vi1" localSheetId="4">#REF!</definedName>
    <definedName name="__vi1">#REF!</definedName>
    <definedName name="__vii1" localSheetId="4">#REF!</definedName>
    <definedName name="__vii1">#REF!</definedName>
    <definedName name="__x1" localSheetId="4">#REF!</definedName>
    <definedName name="__x1">#REF!</definedName>
    <definedName name="__xi1" localSheetId="4">#REF!</definedName>
    <definedName name="__xi1">#REF!</definedName>
    <definedName name="__xlnm.Print_Area_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Titles_1">#REF!</definedName>
    <definedName name="__xlnm.Print_Titles_2">#REF!</definedName>
    <definedName name="__xlnm.Print_Titles_3">#REF!</definedName>
    <definedName name="__xlnm.Print_Titles_4">#REF!</definedName>
    <definedName name="__xlnm.Print_Titles_5">#REF!</definedName>
    <definedName name="__xv1" localSheetId="4">#REF!</definedName>
    <definedName name="__xv1">#REF!</definedName>
    <definedName name="__xx1" localSheetId="4">#REF!</definedName>
    <definedName name="__xx1">#REF!</definedName>
    <definedName name="_0" localSheetId="4">#REF!</definedName>
    <definedName name="_0">#REF!</definedName>
    <definedName name="_0_1" localSheetId="4">#REF!</definedName>
    <definedName name="_0_1">#REF!</definedName>
    <definedName name="_0_19" localSheetId="4">#REF!</definedName>
    <definedName name="_0_19">#REF!</definedName>
    <definedName name="_0_2" localSheetId="4">#REF!</definedName>
    <definedName name="_0_2">#REF!</definedName>
    <definedName name="_0_3" localSheetId="4">#REF!</definedName>
    <definedName name="_0_3">#REF!</definedName>
    <definedName name="_0_7" localSheetId="4">#REF!</definedName>
    <definedName name="_0_7">#REF!</definedName>
    <definedName name="_0_9" localSheetId="4">#REF!</definedName>
    <definedName name="_0_9">#REF!</definedName>
    <definedName name="_1.1.">#REF!</definedName>
    <definedName name="_1Excel_BuiltIn_Print_Area_1" localSheetId="4">#REF!</definedName>
    <definedName name="_1Excel_BuiltIn_Print_Area_1">#REF!</definedName>
    <definedName name="_2Excel_BuiltIn_Print_Area_2" localSheetId="4">#REF!</definedName>
    <definedName name="_2Excel_BuiltIn_Print_Area_2">#REF!</definedName>
    <definedName name="_3Excel_BuiltIn_Print_Area_10_1" localSheetId="4">#REF!</definedName>
    <definedName name="_3Excel_BuiltIn_Print_Area_10_1">#REF!</definedName>
    <definedName name="_4Excel_BuiltIn_Print_Area_19_1" localSheetId="4">#REF!</definedName>
    <definedName name="_4Excel_BuiltIn_Print_Area_19_1">#REF!</definedName>
    <definedName name="_5Excel_BuiltIn_Print_Area_3_1" localSheetId="4">#REF!</definedName>
    <definedName name="_5Excel_BuiltIn_Print_Area_3_1">#REF!</definedName>
    <definedName name="_6Excel_BuiltIn_Print_Area_7_1" localSheetId="4">#REF!</definedName>
    <definedName name="_6Excel_BuiltIn_Print_Area_7_1">#REF!</definedName>
    <definedName name="_7Excel_BuiltIn_Print_Area_9_1" localSheetId="4">#REF!</definedName>
    <definedName name="_7Excel_BuiltIn_Print_Area_9_1">#REF!</definedName>
    <definedName name="_8Excel_BuiltIn_Print_Area_9_2" localSheetId="4">#REF!</definedName>
    <definedName name="_8Excel_BuiltIn_Print_Area_9_2">#REF!</definedName>
    <definedName name="_9Excel_BuiltIn_Print_Area_9_3" localSheetId="4">#REF!</definedName>
    <definedName name="_9Excel_BuiltIn_Print_Area_9_3">#REF!</definedName>
    <definedName name="_atr1" localSheetId="4">#REF!</definedName>
    <definedName name="_atr1">#REF!</definedName>
    <definedName name="_Fill" localSheetId="4" hidden="1">#REF!</definedName>
    <definedName name="_Fill" hidden="1">#REF!</definedName>
    <definedName name="_Fill1" localSheetId="4" hidden="1">#REF!</definedName>
    <definedName name="_Fill1" hidden="1">#REF!</definedName>
    <definedName name="_xlnm._FilterDatabase" localSheetId="3" hidden="1">elektro!$B$10:$G$30</definedName>
    <definedName name="_xlnm._FilterDatabase" localSheetId="2" hidden="1">strojarstvo!$A$1:$BR$339</definedName>
    <definedName name="_xlnm._FilterDatabase" localSheetId="4" hidden="1">ViK!$A$15:$O$18</definedName>
    <definedName name="_i1" localSheetId="4">#REF!</definedName>
    <definedName name="_i1">#REF!</definedName>
    <definedName name="_ii1" localSheetId="4">#REF!</definedName>
    <definedName name="_ii1">#REF!</definedName>
    <definedName name="_iii1" localSheetId="4">#REF!</definedName>
    <definedName name="_iii1">#REF!</definedName>
    <definedName name="_iv1" localSheetId="4">#REF!</definedName>
    <definedName name="_iv1">#REF!</definedName>
    <definedName name="_ix1" localSheetId="4">#REF!</definedName>
    <definedName name="_ix1">#REF!</definedName>
    <definedName name="_kd1" localSheetId="4">#REF!</definedName>
    <definedName name="_kd1">#REF!</definedName>
    <definedName name="_kd2" localSheetId="4">#REF!</definedName>
    <definedName name="_kd2">#REF!</definedName>
    <definedName name="_Key1" localSheetId="4" hidden="1">#REF!</definedName>
    <definedName name="_Key1" hidden="1">#REF!</definedName>
    <definedName name="_Key11" localSheetId="4" hidden="1">#REF!</definedName>
    <definedName name="_Key11" hidden="1">#REF!</definedName>
    <definedName name="_Key2" localSheetId="4" hidden="1">#REF!</definedName>
    <definedName name="_Key2" hidden="1">#REF!</definedName>
    <definedName name="_Key21" localSheetId="4" hidden="1">#REF!</definedName>
    <definedName name="_Key21" hidden="1">#REF!</definedName>
    <definedName name="_s1" localSheetId="4">#REF!</definedName>
    <definedName name="_s1">#REF!</definedName>
    <definedName name="_Sort" localSheetId="4" hidden="1">#REF!</definedName>
    <definedName name="_Sort" hidden="1">#REF!</definedName>
    <definedName name="_Sort1" localSheetId="4" hidden="1">#REF!</definedName>
    <definedName name="_Sort1" hidden="1">#REF!</definedName>
    <definedName name="_T100" localSheetId="4">#REF!</definedName>
    <definedName name="_T100">#REF!</definedName>
    <definedName name="_vi1" localSheetId="4">#REF!</definedName>
    <definedName name="_vi1">#REF!</definedName>
    <definedName name="_vii1" localSheetId="4">#REF!</definedName>
    <definedName name="_vii1">#REF!</definedName>
    <definedName name="_x1" localSheetId="4">#REF!</definedName>
    <definedName name="_x1">#REF!</definedName>
    <definedName name="_xi1" localSheetId="4">#REF!</definedName>
    <definedName name="_xi1">#REF!</definedName>
    <definedName name="_xv1" localSheetId="4">#REF!</definedName>
    <definedName name="_xv1">#REF!</definedName>
    <definedName name="_xx1" localSheetId="4">#REF!</definedName>
    <definedName name="_xx1">#REF!</definedName>
    <definedName name="a" localSheetId="1">[1]soboslik!#REF!</definedName>
    <definedName name="a" localSheetId="4">#REF!</definedName>
    <definedName name="a">#REF!</definedName>
    <definedName name="AA" localSheetId="4">#REF!</definedName>
    <definedName name="AA">#REF!</definedName>
    <definedName name="aaaaaaa" localSheetId="4">'[2]Osn-Pod'!#REF!</definedName>
    <definedName name="aaaaaaa">'[2]Osn-Pod'!#REF!</definedName>
    <definedName name="aaaaaaaaaa" localSheetId="4">'[2]Osn-Pod'!#REF!</definedName>
    <definedName name="aaaaaaaaaa">'[2]Osn-Pod'!#REF!</definedName>
    <definedName name="aaaaaaaaaaaaaa" localSheetId="4">#REF!</definedName>
    <definedName name="aaaaaaaaaaaaaa">#REF!</definedName>
    <definedName name="aaaaaaaaaaaaaaaa" localSheetId="4">'[2]Osn-Pod'!#REF!</definedName>
    <definedName name="aaaaaaaaaaaaaaaa">'[2]Osn-Pod'!#REF!</definedName>
    <definedName name="ABBB" localSheetId="4">#REF!</definedName>
    <definedName name="ABBB">#REF!</definedName>
    <definedName name="ADRESA">'[2]Osn-Pod'!$C$9</definedName>
    <definedName name="ADSFAF" localSheetId="4">#REF!</definedName>
    <definedName name="ADSFAF">#REF!</definedName>
    <definedName name="adss" localSheetId="4">#REF!</definedName>
    <definedName name="adss">#REF!</definedName>
    <definedName name="afdasfa" localSheetId="4">#REF!</definedName>
    <definedName name="afdasfa">#REF!</definedName>
    <definedName name="ANEX_I" localSheetId="4">'[2]Osn-Pod'!#REF!</definedName>
    <definedName name="ANEX_I">'[2]Osn-Pod'!#REF!</definedName>
    <definedName name="ANEX_II" localSheetId="4">'[2]Osn-Pod'!#REF!</definedName>
    <definedName name="ANEX_II">'[2]Osn-Pod'!#REF!</definedName>
    <definedName name="ARAP_BROJ_SIT" localSheetId="4">#REF!</definedName>
    <definedName name="ARAP_BROJ_SIT">#REF!</definedName>
    <definedName name="ARAP_BROJ_SIT_1" localSheetId="4">#REF!</definedName>
    <definedName name="ARAP_BROJ_SIT_1">#REF!</definedName>
    <definedName name="ARAP_BROJ_SIT_19" localSheetId="4">#REF!</definedName>
    <definedName name="ARAP_BROJ_SIT_19">#REF!</definedName>
    <definedName name="ARAP_BROJ_SIT_2" localSheetId="4">#REF!</definedName>
    <definedName name="ARAP_BROJ_SIT_2">#REF!</definedName>
    <definedName name="ARAP_BROJ_SIT_3" localSheetId="4">#REF!</definedName>
    <definedName name="ARAP_BROJ_SIT_3">#REF!</definedName>
    <definedName name="ARAP_BROJ_SIT_7" localSheetId="4">#REF!</definedName>
    <definedName name="ARAP_BROJ_SIT_7">#REF!</definedName>
    <definedName name="ARAP_BROJ_SIT_9" localSheetId="4">#REF!</definedName>
    <definedName name="ARAP_BROJ_SIT_9">#REF!</definedName>
    <definedName name="arap_broj_sit1" localSheetId="4">#REF!</definedName>
    <definedName name="arap_broj_sit1">#REF!</definedName>
    <definedName name="ARH_PROJEKTANT">[3]Korice!$X$45</definedName>
    <definedName name="asadsad" localSheetId="4">'[2]Osn-Pod'!#REF!</definedName>
    <definedName name="asadsad">'[2]Osn-Pod'!#REF!</definedName>
    <definedName name="asca" localSheetId="4">#REF!</definedName>
    <definedName name="asca">#REF!</definedName>
    <definedName name="ATR" localSheetId="4">#REF!</definedName>
    <definedName name="ATR">#REF!</definedName>
    <definedName name="ATR_1" localSheetId="4">#REF!</definedName>
    <definedName name="ATR_1">#REF!</definedName>
    <definedName name="ATR_19" localSheetId="4">#REF!</definedName>
    <definedName name="ATR_19">#REF!</definedName>
    <definedName name="ATR_2" localSheetId="4">#REF!</definedName>
    <definedName name="ATR_2">#REF!</definedName>
    <definedName name="ATR_3" localSheetId="4">#REF!</definedName>
    <definedName name="ATR_3">#REF!</definedName>
    <definedName name="ATR_7" localSheetId="4">#REF!</definedName>
    <definedName name="ATR_7">#REF!</definedName>
    <definedName name="ATR_9" localSheetId="4">#REF!</definedName>
    <definedName name="ATR_9">#REF!</definedName>
    <definedName name="avan_mjes1" localSheetId="4">#REF!</definedName>
    <definedName name="avan_mjes1">#REF!</definedName>
    <definedName name="AVANS_ISPL" localSheetId="4">'[2]Osn-Pod'!#REF!</definedName>
    <definedName name="AVANS_ISPL">'[2]Osn-Pod'!#REF!</definedName>
    <definedName name="AVANS_MJES" localSheetId="4">#REF!</definedName>
    <definedName name="AVANS_MJES">#REF!</definedName>
    <definedName name="AVANS_MJES_1" localSheetId="4">#REF!</definedName>
    <definedName name="AVANS_MJES_1">#REF!</definedName>
    <definedName name="AVANS_MJES_19" localSheetId="4">#REF!</definedName>
    <definedName name="AVANS_MJES_19">#REF!</definedName>
    <definedName name="AVANS_MJES_2" localSheetId="4">#REF!</definedName>
    <definedName name="AVANS_MJES_2">#REF!</definedName>
    <definedName name="AVANS_MJES_3" localSheetId="4">#REF!</definedName>
    <definedName name="AVANS_MJES_3">#REF!</definedName>
    <definedName name="AVANS_MJES_7" localSheetId="4">#REF!</definedName>
    <definedName name="AVANS_MJES_7">#REF!</definedName>
    <definedName name="AVANS_MJES_9" localSheetId="4">#REF!</definedName>
    <definedName name="AVANS_MJES_9">#REF!</definedName>
    <definedName name="b" localSheetId="4">#REF!</definedName>
    <definedName name="b">#REF!</definedName>
    <definedName name="b0" localSheetId="4">#REF!</definedName>
    <definedName name="b0">#REF!</definedName>
    <definedName name="BOKI" localSheetId="4">#REF!</definedName>
    <definedName name="BOKI">#REF!</definedName>
    <definedName name="brisi" localSheetId="4">#REF!</definedName>
    <definedName name="brisi">#REF!</definedName>
    <definedName name="brisi_1" localSheetId="4">#REF!</definedName>
    <definedName name="brisi_1">#REF!</definedName>
    <definedName name="brisi_19" localSheetId="4">#REF!</definedName>
    <definedName name="brisi_19">#REF!</definedName>
    <definedName name="brisi_2" localSheetId="4">#REF!</definedName>
    <definedName name="brisi_2">#REF!</definedName>
    <definedName name="brisi_3" localSheetId="4">#REF!</definedName>
    <definedName name="brisi_3">#REF!</definedName>
    <definedName name="brisi_7" localSheetId="4">#REF!</definedName>
    <definedName name="brisi_7">#REF!</definedName>
    <definedName name="brisi_9" localSheetId="4">#REF!</definedName>
    <definedName name="brisi_9">#REF!</definedName>
    <definedName name="brisi1" localSheetId="4">#REF!</definedName>
    <definedName name="brisi1">#REF!</definedName>
    <definedName name="BROJ_KUCA" localSheetId="4">#REF!</definedName>
    <definedName name="BROJ_KUCA">#REF!</definedName>
    <definedName name="BROJ_KUCA_1" localSheetId="4">#REF!</definedName>
    <definedName name="BROJ_KUCA_1">#REF!</definedName>
    <definedName name="BROJ_KUCA_19" localSheetId="4">#REF!</definedName>
    <definedName name="BROJ_KUCA_19">#REF!</definedName>
    <definedName name="BROJ_KUCA_2" localSheetId="4">#REF!</definedName>
    <definedName name="BROJ_KUCA_2">#REF!</definedName>
    <definedName name="BROJ_KUCA_3" localSheetId="4">#REF!</definedName>
    <definedName name="BROJ_KUCA_3">#REF!</definedName>
    <definedName name="BROJ_KUCA_7" localSheetId="4">#REF!</definedName>
    <definedName name="BROJ_KUCA_7">#REF!</definedName>
    <definedName name="BROJ_KUCA_9" localSheetId="4">#REF!</definedName>
    <definedName name="BROJ_KUCA_9">#REF!</definedName>
    <definedName name="broj_kuca1" localSheetId="4">#REF!</definedName>
    <definedName name="broj_kuca1">#REF!</definedName>
    <definedName name="BROJ_LISTA" localSheetId="4">#REF!</definedName>
    <definedName name="BROJ_LISTA">#REF!</definedName>
    <definedName name="BROJ_LISTA_1" localSheetId="4">#REF!</definedName>
    <definedName name="BROJ_LISTA_1">#REF!</definedName>
    <definedName name="BROJ_LISTA_19" localSheetId="4">#REF!</definedName>
    <definedName name="BROJ_LISTA_19">#REF!</definedName>
    <definedName name="BROJ_LISTA_2" localSheetId="4">#REF!</definedName>
    <definedName name="BROJ_LISTA_2">#REF!</definedName>
    <definedName name="BROJ_LISTA_3" localSheetId="4">#REF!</definedName>
    <definedName name="BROJ_LISTA_3">#REF!</definedName>
    <definedName name="BROJ_LISTA_7" localSheetId="4">#REF!</definedName>
    <definedName name="BROJ_LISTA_7">#REF!</definedName>
    <definedName name="BROJ_LISTA_9" localSheetId="4">#REF!</definedName>
    <definedName name="BROJ_LISTA_9">#REF!</definedName>
    <definedName name="broj_lista1" localSheetId="4">#REF!</definedName>
    <definedName name="broj_lista1">#REF!</definedName>
    <definedName name="BROJ_SIT" localSheetId="4">'[2]Osn-Pod'!#REF!</definedName>
    <definedName name="BROJ_SIT">'[2]Osn-Pod'!#REF!</definedName>
    <definedName name="BROJ_UGOVORA">'[2]Osn-Pod'!$G$12</definedName>
    <definedName name="BRUTTO" localSheetId="4">'[4]Arh-površine'!#REF!</definedName>
    <definedName name="BRUTTO">'[4]Arh-površine'!#REF!</definedName>
    <definedName name="BRUTTO2" localSheetId="4">'[4]Arh-površine'!#REF!</definedName>
    <definedName name="BRUTTO2">'[4]Arh-površine'!#REF!</definedName>
    <definedName name="cc" localSheetId="4">'[2]Osn-Pod'!#REF!</definedName>
    <definedName name="cc">'[2]Osn-Pod'!#REF!</definedName>
    <definedName name="ccc" localSheetId="4">'[2]Osn-Pod'!#REF!</definedName>
    <definedName name="ccc">'[2]Osn-Pod'!#REF!</definedName>
    <definedName name="ccccc" localSheetId="4">#REF!</definedName>
    <definedName name="ccccc">#REF!</definedName>
    <definedName name="ccwcwcw" localSheetId="4">#REF!</definedName>
    <definedName name="ccwcwcw">#REF!</definedName>
    <definedName name="CELIJA">#REF!</definedName>
    <definedName name="cijene" localSheetId="4">#REF!</definedName>
    <definedName name="cijene">#REF!</definedName>
    <definedName name="cijene_1" localSheetId="4">#REF!</definedName>
    <definedName name="cijene_1">#REF!</definedName>
    <definedName name="cijene_19" localSheetId="4">#REF!</definedName>
    <definedName name="cijene_19">#REF!</definedName>
    <definedName name="cijene_2" localSheetId="4">#REF!</definedName>
    <definedName name="cijene_2">#REF!</definedName>
    <definedName name="cijene_3" localSheetId="4">#REF!</definedName>
    <definedName name="cijene_3">#REF!</definedName>
    <definedName name="cijene_7" localSheetId="4">#REF!</definedName>
    <definedName name="cijene_7">#REF!</definedName>
    <definedName name="cijene_9" localSheetId="4">#REF!</definedName>
    <definedName name="cijene_9">#REF!</definedName>
    <definedName name="cijene1" localSheetId="4">#REF!</definedName>
    <definedName name="cijene1">#REF!</definedName>
    <definedName name="COPY_1_4" localSheetId="4">#REF!</definedName>
    <definedName name="COPY_1_4">#REF!</definedName>
    <definedName name="COPY_1_4_1" localSheetId="4">#REF!</definedName>
    <definedName name="COPY_1_4_1">#REF!</definedName>
    <definedName name="COPY_1_4_19" localSheetId="4">#REF!</definedName>
    <definedName name="COPY_1_4_19">#REF!</definedName>
    <definedName name="COPY_1_4_2" localSheetId="4">#REF!</definedName>
    <definedName name="COPY_1_4_2">#REF!</definedName>
    <definedName name="COPY_1_4_3" localSheetId="4">#REF!</definedName>
    <definedName name="COPY_1_4_3">#REF!</definedName>
    <definedName name="COPY_1_4_7" localSheetId="4">#REF!</definedName>
    <definedName name="COPY_1_4_7">#REF!</definedName>
    <definedName name="COPY_1_4_9" localSheetId="4">#REF!</definedName>
    <definedName name="COPY_1_4_9">#REF!</definedName>
    <definedName name="copy_1_41" localSheetId="4">#REF!</definedName>
    <definedName name="copy_1_41">#REF!</definedName>
    <definedName name="COPY_5_8" localSheetId="4">#REF!</definedName>
    <definedName name="COPY_5_8">#REF!</definedName>
    <definedName name="COPY_5_8_1" localSheetId="4">#REF!</definedName>
    <definedName name="COPY_5_8_1">#REF!</definedName>
    <definedName name="COPY_5_8_19" localSheetId="4">#REF!</definedName>
    <definedName name="COPY_5_8_19">#REF!</definedName>
    <definedName name="COPY_5_8_2" localSheetId="4">#REF!</definedName>
    <definedName name="COPY_5_8_2">#REF!</definedName>
    <definedName name="COPY_5_8_3" localSheetId="4">#REF!</definedName>
    <definedName name="COPY_5_8_3">#REF!</definedName>
    <definedName name="COPY_5_8_7" localSheetId="4">#REF!</definedName>
    <definedName name="COPY_5_8_7">#REF!</definedName>
    <definedName name="COPY_5_8_9" localSheetId="4">#REF!</definedName>
    <definedName name="COPY_5_8_9">#REF!</definedName>
    <definedName name="copy_5_81" localSheetId="4">#REF!</definedName>
    <definedName name="copy_5_81">#REF!</definedName>
    <definedName name="Crtao" localSheetId="4">#REF!</definedName>
    <definedName name="Crtao">#REF!</definedName>
    <definedName name="č">[5]popisi!$C$1:$C$3</definedName>
    <definedName name="če">[5]popisi!$C$1:$C$3</definedName>
    <definedName name="čelik">[6]Sheet2!$C$1:$C$3</definedName>
    <definedName name="ćpoćo" localSheetId="4">#REF!</definedName>
    <definedName name="ćpoćo">#REF!</definedName>
    <definedName name="d" localSheetId="1">#REF!</definedName>
    <definedName name="d" localSheetId="4">#REF!</definedName>
    <definedName name="d">#REF!</definedName>
    <definedName name="da">#REF!</definedName>
    <definedName name="DAFAFAFA" localSheetId="4">#REF!</definedName>
    <definedName name="DAFAFAFA">#REF!</definedName>
    <definedName name="DAT_SIT" localSheetId="4">'[2]Osn-Pod'!#REF!</definedName>
    <definedName name="DAT_SIT">'[2]Osn-Pod'!#REF!</definedName>
    <definedName name="DATOTEKA">'[2]Osn-Pod'!$E$5</definedName>
    <definedName name="datum" localSheetId="4">#REF!</definedName>
    <definedName name="datum">#REF!</definedName>
    <definedName name="datum_1" localSheetId="4">#REF!</definedName>
    <definedName name="datum_1">#REF!</definedName>
    <definedName name="datum_19" localSheetId="4">#REF!</definedName>
    <definedName name="datum_19">#REF!</definedName>
    <definedName name="datum_2" localSheetId="4">#REF!</definedName>
    <definedName name="datum_2">#REF!</definedName>
    <definedName name="datum_3" localSheetId="4">#REF!</definedName>
    <definedName name="datum_3">#REF!</definedName>
    <definedName name="datum_7" localSheetId="4">#REF!</definedName>
    <definedName name="datum_7">#REF!</definedName>
    <definedName name="datum_9" localSheetId="4">#REF!</definedName>
    <definedName name="datum_9">#REF!</definedName>
    <definedName name="DATUM_DANAS">'[2]Osn-Pod'!$G$9</definedName>
    <definedName name="datum1" localSheetId="4">#REF!</definedName>
    <definedName name="datum1">#REF!</definedName>
    <definedName name="dd" localSheetId="4">#REF!</definedName>
    <definedName name="dd">#REF!</definedName>
    <definedName name="ddddd" localSheetId="4">'[2]Osn-Pod'!#REF!</definedName>
    <definedName name="ddddd">'[2]Osn-Pod'!#REF!</definedName>
    <definedName name="ddddddd" localSheetId="4">'[2]Osn-Pod'!#REF!</definedName>
    <definedName name="ddddddd">'[2]Osn-Pod'!#REF!</definedName>
    <definedName name="dddddddddd" localSheetId="4">'[2]Osn-Pod'!#REF!</definedName>
    <definedName name="dddddddddd">'[2]Osn-Pod'!#REF!</definedName>
    <definedName name="DFH" localSheetId="4">#REF!</definedName>
    <definedName name="DFH">#REF!</definedName>
    <definedName name="DIONICE" localSheetId="4">'[2]Osn-Pod'!#REF!</definedName>
    <definedName name="DIONICE">'[2]Osn-Pod'!#REF!</definedName>
    <definedName name="DIREKTOR">[3]Korice!$O$55</definedName>
    <definedName name="e" localSheetId="4">#REF!</definedName>
    <definedName name="e">#REF!</definedName>
    <definedName name="ec" localSheetId="4">#REF!</definedName>
    <definedName name="ec">#REF!</definedName>
    <definedName name="ee" localSheetId="4">#REF!</definedName>
    <definedName name="ee">#REF!</definedName>
    <definedName name="eee" localSheetId="4">'[2]Osn-Pod'!#REF!</definedName>
    <definedName name="eee">'[2]Osn-Pod'!#REF!</definedName>
    <definedName name="eeee" localSheetId="4">'[2]Osn-Pod'!#REF!</definedName>
    <definedName name="eeee">'[2]Osn-Pod'!#REF!</definedName>
    <definedName name="eeeeeeeeee" localSheetId="4">'[2]Osn-Pod'!#REF!</definedName>
    <definedName name="eeeeeeeeee">'[2]Osn-Pod'!#REF!</definedName>
    <definedName name="ege" localSheetId="4">#REF!</definedName>
    <definedName name="ege">#REF!</definedName>
    <definedName name="EWFF" localSheetId="4">'[2]Osn-Pod'!#REF!</definedName>
    <definedName name="EWFF">'[2]Osn-Pod'!#REF!</definedName>
    <definedName name="ewgweg" localSheetId="4">#REF!</definedName>
    <definedName name="ewgweg">#REF!</definedName>
    <definedName name="Excel_BuiltIn__FilterDatabase_23" localSheetId="4">[7]Predmjer!#REF!</definedName>
    <definedName name="Excel_BuiltIn__FilterDatabase_23">[7]Predmjer!#REF!</definedName>
    <definedName name="Excel_BuiltIn__FilterDatabase_27" localSheetId="4">'[7]Predmjer (2)'!#REF!</definedName>
    <definedName name="Excel_BuiltIn__FilterDatabase_27">'[7]Predmjer (2)'!#REF!</definedName>
    <definedName name="Excel_BuiltIn__FilterDatabase_9" localSheetId="4">#REF!</definedName>
    <definedName name="Excel_BuiltIn__FilterDatabase_9">#REF!</definedName>
    <definedName name="Excel_BuiltIn_Print_Area" localSheetId="4">#REF!</definedName>
    <definedName name="Excel_BuiltIn_Print_Area">#REF!</definedName>
    <definedName name="Excel_BuiltIn_Print_Area_1" localSheetId="4">#REF!</definedName>
    <definedName name="Excel_BuiltIn_Print_Area_1">#REF!</definedName>
    <definedName name="Excel_BuiltIn_Print_Area_1_1" localSheetId="4">#REF!</definedName>
    <definedName name="Excel_BuiltIn_Print_Area_1_1">#REF!</definedName>
    <definedName name="Excel_BuiltIn_Print_Area_1_2" localSheetId="4">#REF!</definedName>
    <definedName name="Excel_BuiltIn_Print_Area_1_2">#REF!</definedName>
    <definedName name="Excel_BuiltIn_Print_Area_1_3" localSheetId="4">#REF!</definedName>
    <definedName name="Excel_BuiltIn_Print_Area_1_3">#REF!</definedName>
    <definedName name="Excel_BuiltIn_Print_Area_18" localSheetId="4">#REF!</definedName>
    <definedName name="Excel_BuiltIn_Print_Area_18">#REF!</definedName>
    <definedName name="Excel_BuiltIn_Print_Area_2" localSheetId="4">#REF!</definedName>
    <definedName name="Excel_BuiltIn_Print_Area_2">#REF!</definedName>
    <definedName name="Excel_BuiltIn_Print_Area_2_1" localSheetId="4">#REF!</definedName>
    <definedName name="Excel_BuiltIn_Print_Area_2_1">#REF!</definedName>
    <definedName name="Excel_BuiltIn_Print_Area_2_2" localSheetId="4">#REF!</definedName>
    <definedName name="Excel_BuiltIn_Print_Area_2_2">#REF!</definedName>
    <definedName name="Excel_BuiltIn_Print_Area_2_3" localSheetId="4">#REF!</definedName>
    <definedName name="Excel_BuiltIn_Print_Area_2_3">#REF!</definedName>
    <definedName name="Excel_BuiltIn_Print_Area_3_1" localSheetId="4">#REF!</definedName>
    <definedName name="Excel_BuiltIn_Print_Area_3_1">#REF!</definedName>
    <definedName name="Excel_BuiltIn_Print_Area_3_2" localSheetId="4">#REF!</definedName>
    <definedName name="Excel_BuiltIn_Print_Area_3_2">#REF!</definedName>
    <definedName name="Excel_BuiltIn_Print_Area_3_3" localSheetId="4">#REF!</definedName>
    <definedName name="Excel_BuiltIn_Print_Area_3_3">#REF!</definedName>
    <definedName name="Excel_BuiltIn_Recorder" localSheetId="4">#REF!</definedName>
    <definedName name="Excel_BuiltIn_Recorder">#REF!</definedName>
    <definedName name="Excel_BuiltIn_Recorder_1" localSheetId="4">#REF!</definedName>
    <definedName name="Excel_BuiltIn_Recorder_1">#REF!</definedName>
    <definedName name="Excel_BuiltIn_Recorder_19" localSheetId="4">#REF!</definedName>
    <definedName name="Excel_BuiltIn_Recorder_19">#REF!</definedName>
    <definedName name="Excel_BuiltIn_Recorder_2" localSheetId="4">#REF!</definedName>
    <definedName name="Excel_BuiltIn_Recorder_2">#REF!</definedName>
    <definedName name="Excel_BuiltIn_Recorder_3" localSheetId="4">#REF!</definedName>
    <definedName name="Excel_BuiltIn_Recorder_3">#REF!</definedName>
    <definedName name="Excel_BuiltIn_Recorder_7" localSheetId="4">#REF!</definedName>
    <definedName name="Excel_BuiltIn_Recorder_7">#REF!</definedName>
    <definedName name="Excel_BuiltIn_Recorder_9" localSheetId="4">#REF!</definedName>
    <definedName name="Excel_BuiltIn_Recorder_9">#REF!</definedName>
    <definedName name="FGDDG" localSheetId="4">'[2]Osn-Pod'!#REF!</definedName>
    <definedName name="FGDDG">'[2]Osn-Pod'!#REF!</definedName>
    <definedName name="FGHG" localSheetId="4">#REF!</definedName>
    <definedName name="FGHG">#REF!</definedName>
    <definedName name="FGKJFGDRJKGLĆI" localSheetId="4">#REF!</definedName>
    <definedName name="FGKJFGDRJKGLĆI">#REF!</definedName>
    <definedName name="fgn" localSheetId="4">#REF!</definedName>
    <definedName name="fgn">#REF!</definedName>
    <definedName name="fhg" localSheetId="4">#REF!</definedName>
    <definedName name="fhg">#REF!</definedName>
    <definedName name="FHRHRHRH" localSheetId="4">#REF!</definedName>
    <definedName name="FHRHRHRH">#REF!</definedName>
    <definedName name="fsfsfsfsf" localSheetId="4">#REF!</definedName>
    <definedName name="fsfsfsfsf">#REF!</definedName>
    <definedName name="fwf" localSheetId="4">#REF!</definedName>
    <definedName name="fwf">#REF!</definedName>
    <definedName name="fwfef" localSheetId="4">#REF!</definedName>
    <definedName name="fwfef">#REF!</definedName>
    <definedName name="g">#REF!</definedName>
    <definedName name="gdsg" localSheetId="4">#REF!</definedName>
    <definedName name="gdsg">#REF!</definedName>
    <definedName name="GEGW" localSheetId="4">#REF!</definedName>
    <definedName name="GEGW">#REF!</definedName>
    <definedName name="GFDSGSSG" localSheetId="4">#REF!</definedName>
    <definedName name="GFDSGSSG">#REF!</definedName>
    <definedName name="ggde" localSheetId="4">#REF!</definedName>
    <definedName name="ggde">#REF!</definedName>
    <definedName name="gh" localSheetId="4">#REF!</definedName>
    <definedName name="gh">#REF!</definedName>
    <definedName name="ghdfhdhfhd" localSheetId="4">#REF!</definedName>
    <definedName name="ghdfhdhfhd">#REF!</definedName>
    <definedName name="gl_proj" localSheetId="4">#REF!</definedName>
    <definedName name="gl_proj">#REF!</definedName>
    <definedName name="GL_PROJEKTANT">[3]Korice!$X$40</definedName>
    <definedName name="GLOB_RJES">'[8]Osn-Pod'!$E$14</definedName>
    <definedName name="GOD_POC" localSheetId="4">'[2]Osn-Pod'!#REF!</definedName>
    <definedName name="GOD_POC">'[2]Osn-Pod'!#REF!</definedName>
    <definedName name="GOD_SIT" localSheetId="4">'[2]Osn-Pod'!#REF!</definedName>
    <definedName name="GOD_SIT">'[2]Osn-Pod'!#REF!</definedName>
    <definedName name="GRAĐ_PROJEKTANT" localSheetId="4">[3]Korice!#REF!</definedName>
    <definedName name="GRAĐ_PROJEKTANT">[3]Korice!#REF!</definedName>
    <definedName name="GSG" localSheetId="4">#REF!</definedName>
    <definedName name="GSG">#REF!</definedName>
    <definedName name="H" localSheetId="4">#REF!</definedName>
    <definedName name="H">#REF!</definedName>
    <definedName name="HDF" localSheetId="4">#REF!</definedName>
    <definedName name="HDF">#REF!</definedName>
    <definedName name="hdh" localSheetId="4">#REF!</definedName>
    <definedName name="hdh">#REF!</definedName>
    <definedName name="hgsdhdfhg" localSheetId="4">#REF!</definedName>
    <definedName name="hgsdhdfhg">#REF!</definedName>
    <definedName name="hidra" localSheetId="4">#REF!</definedName>
    <definedName name="hidra">#REF!</definedName>
    <definedName name="hortikultura">[1]soboslik!#REF!</definedName>
    <definedName name="HRJT" localSheetId="4">#REF!</definedName>
    <definedName name="HRJT">#REF!</definedName>
    <definedName name="hth" localSheetId="4">#REF!</definedName>
    <definedName name="hth">#REF!</definedName>
    <definedName name="htk" localSheetId="4">#REF!</definedName>
    <definedName name="htk">#REF!</definedName>
    <definedName name="hz" localSheetId="4">#REF!</definedName>
    <definedName name="hz">#REF!</definedName>
    <definedName name="I" localSheetId="4">#REF!</definedName>
    <definedName name="I">#REF!</definedName>
    <definedName name="I_1" localSheetId="4">#REF!</definedName>
    <definedName name="I_1">#REF!</definedName>
    <definedName name="I_19" localSheetId="4">#REF!</definedName>
    <definedName name="I_19">#REF!</definedName>
    <definedName name="I_2" localSheetId="4">#REF!</definedName>
    <definedName name="I_2">#REF!</definedName>
    <definedName name="I_3" localSheetId="4">#REF!</definedName>
    <definedName name="I_3">#REF!</definedName>
    <definedName name="I_7" localSheetId="4">#REF!</definedName>
    <definedName name="I_7">#REF!</definedName>
    <definedName name="I_9" localSheetId="4">#REF!</definedName>
    <definedName name="I_9">#REF!</definedName>
    <definedName name="II" localSheetId="4">#REF!</definedName>
    <definedName name="II">#REF!</definedName>
    <definedName name="II_1" localSheetId="4">#REF!</definedName>
    <definedName name="II_1">#REF!</definedName>
    <definedName name="II_19" localSheetId="4">#REF!</definedName>
    <definedName name="II_19">#REF!</definedName>
    <definedName name="II_2" localSheetId="4">#REF!</definedName>
    <definedName name="II_2">#REF!</definedName>
    <definedName name="II_3" localSheetId="4">#REF!</definedName>
    <definedName name="II_3">#REF!</definedName>
    <definedName name="II_7" localSheetId="4">#REF!</definedName>
    <definedName name="II_7">#REF!</definedName>
    <definedName name="II_9" localSheetId="4">#REF!</definedName>
    <definedName name="II_9">#REF!</definedName>
    <definedName name="III" localSheetId="4">#REF!</definedName>
    <definedName name="III">#REF!</definedName>
    <definedName name="III_1" localSheetId="4">#REF!</definedName>
    <definedName name="III_1">#REF!</definedName>
    <definedName name="III_19" localSheetId="4">#REF!</definedName>
    <definedName name="III_19">#REF!</definedName>
    <definedName name="III_2" localSheetId="4">#REF!</definedName>
    <definedName name="III_2">#REF!</definedName>
    <definedName name="III_3" localSheetId="4">#REF!</definedName>
    <definedName name="III_3">#REF!</definedName>
    <definedName name="III_7" localSheetId="4">#REF!</definedName>
    <definedName name="III_7">#REF!</definedName>
    <definedName name="III_9" localSheetId="4">#REF!</definedName>
    <definedName name="III_9">#REF!</definedName>
    <definedName name="ilo" localSheetId="4">#REF!</definedName>
    <definedName name="ilo">#REF!</definedName>
    <definedName name="IME" localSheetId="4">#REF!</definedName>
    <definedName name="IME">#REF!</definedName>
    <definedName name="IME_DAT" localSheetId="4">#REF!</definedName>
    <definedName name="IME_DAT">#REF!</definedName>
    <definedName name="IME_DAT_1" localSheetId="4">#REF!</definedName>
    <definedName name="IME_DAT_1">#REF!</definedName>
    <definedName name="IME_DAT_19" localSheetId="4">#REF!</definedName>
    <definedName name="IME_DAT_19">#REF!</definedName>
    <definedName name="IME_DAT_2" localSheetId="4">#REF!</definedName>
    <definedName name="IME_DAT_2">#REF!</definedName>
    <definedName name="IME_DAT_3" localSheetId="4">#REF!</definedName>
    <definedName name="IME_DAT_3">#REF!</definedName>
    <definedName name="IME_DAT_7" localSheetId="4">#REF!</definedName>
    <definedName name="IME_DAT_7">#REF!</definedName>
    <definedName name="IME_DAT_9" localSheetId="4">#REF!</definedName>
    <definedName name="IME_DAT_9">#REF!</definedName>
    <definedName name="ime_dat1" localSheetId="4">#REF!</definedName>
    <definedName name="ime_dat1">#REF!</definedName>
    <definedName name="INST_PROJEKTANT" localSheetId="4">[3]Korice!#REF!</definedName>
    <definedName name="INST_PROJEKTANT">[3]Korice!#REF!</definedName>
    <definedName name="INVESTITOR_ADRESA">[3]Korice!$G$30</definedName>
    <definedName name="INVESTITOR_IME">[3]Korice!$G$29</definedName>
    <definedName name="_xlnm.Print_Titles" localSheetId="0">'građ-obrt'!$1:$1</definedName>
    <definedName name="_xlnm.Print_Titles" localSheetId="2">strojarstvo!$1:$2</definedName>
    <definedName name="_xlnm.Print_Titles" localSheetId="4">ViK!$1:$6</definedName>
    <definedName name="IV" localSheetId="4">#REF!</definedName>
    <definedName name="IV">#REF!</definedName>
    <definedName name="IV_1" localSheetId="4">#REF!</definedName>
    <definedName name="IV_1">#REF!</definedName>
    <definedName name="IV_19" localSheetId="4">#REF!</definedName>
    <definedName name="IV_19">#REF!</definedName>
    <definedName name="IV_2" localSheetId="4">#REF!</definedName>
    <definedName name="IV_2">#REF!</definedName>
    <definedName name="IV_3" localSheetId="4">#REF!</definedName>
    <definedName name="IV_3">#REF!</definedName>
    <definedName name="IV_7" localSheetId="4">#REF!</definedName>
    <definedName name="IV_7">#REF!</definedName>
    <definedName name="IV_9" localSheetId="4">#REF!</definedName>
    <definedName name="IV_9">#REF!</definedName>
    <definedName name="IX" localSheetId="4">#REF!</definedName>
    <definedName name="IX">#REF!</definedName>
    <definedName name="IX_1" localSheetId="4">#REF!</definedName>
    <definedName name="IX_1">#REF!</definedName>
    <definedName name="IX_19" localSheetId="4">#REF!</definedName>
    <definedName name="IX_19">#REF!</definedName>
    <definedName name="IX_2" localSheetId="4">#REF!</definedName>
    <definedName name="IX_2">#REF!</definedName>
    <definedName name="IX_3" localSheetId="4">#REF!</definedName>
    <definedName name="IX_3">#REF!</definedName>
    <definedName name="IX_7" localSheetId="4">#REF!</definedName>
    <definedName name="IX_7">#REF!</definedName>
    <definedName name="IX_9" localSheetId="4">#REF!</definedName>
    <definedName name="IX_9">#REF!</definedName>
    <definedName name="j" localSheetId="4">#REF!</definedName>
    <definedName name="j">#REF!</definedName>
    <definedName name="JJJ" localSheetId="4">#REF!</definedName>
    <definedName name="JJJ">#REF!</definedName>
    <definedName name="jkjklj" localSheetId="4">#REF!</definedName>
    <definedName name="jkjklj">#REF!</definedName>
    <definedName name="jtjrf" localSheetId="4">#REF!</definedName>
    <definedName name="jtjrf">#REF!</definedName>
    <definedName name="jtzjtz" localSheetId="4">#REF!</definedName>
    <definedName name="jtzjtz">#REF!</definedName>
    <definedName name="K" localSheetId="4">#REF!</definedName>
    <definedName name="k">#REF!</definedName>
    <definedName name="k_10" localSheetId="4">#REF!</definedName>
    <definedName name="k_10">#REF!</definedName>
    <definedName name="k_11" localSheetId="4">#REF!</definedName>
    <definedName name="k_11">#REF!</definedName>
    <definedName name="KAT_CES" localSheetId="4">#REF!</definedName>
    <definedName name="KAT_CES">#REF!</definedName>
    <definedName name="KAT_ČEST" localSheetId="4">#REF!</definedName>
    <definedName name="KAT_ČEST">#REF!</definedName>
    <definedName name="KAT_OPC" localSheetId="4">#REF!</definedName>
    <definedName name="KAT_OPC">#REF!</definedName>
    <definedName name="KAT_OPĆ" localSheetId="4">#REF!</definedName>
    <definedName name="KAT_OPĆ">#REF!</definedName>
    <definedName name="KK" localSheetId="4">'[2]Osn-Pod'!#REF!</definedName>
    <definedName name="KK">'[2]Osn-Pod'!#REF!</definedName>
    <definedName name="kkgh" localSheetId="4">#REF!</definedName>
    <definedName name="kkgh">#REF!</definedName>
    <definedName name="KKKK" localSheetId="4">'[2]Osn-Pod'!#REF!</definedName>
    <definedName name="KKKK">'[2]Osn-Pod'!#REF!</definedName>
    <definedName name="KKKKKK" localSheetId="4">'[2]Osn-Pod'!#REF!</definedName>
    <definedName name="KKKKKK">'[2]Osn-Pod'!#REF!</definedName>
    <definedName name="KKKKKKKKKKKKKK" localSheetId="4">'[2]Osn-Pod'!#REF!</definedName>
    <definedName name="KKKKKKKKKKKKKK">'[2]Osn-Pod'!#REF!</definedName>
    <definedName name="Klasa" localSheetId="4">#REF!</definedName>
    <definedName name="Klasa">#REF!</definedName>
    <definedName name="kolnik" localSheetId="4">#REF!</definedName>
    <definedName name="kolnik">#REF!</definedName>
    <definedName name="KONZALTING">'[2]Osn-Pod'!$C$12</definedName>
    <definedName name="kopi" localSheetId="4">#REF!</definedName>
    <definedName name="kopi">#REF!</definedName>
    <definedName name="KOR_IME">'[2]Osn-Pod'!$C$8</definedName>
    <definedName name="KOR_IME_OCA">'[2]Osn-Pod'!$E$8</definedName>
    <definedName name="KOR_PREZIME">'[2]Osn-Pod'!$C$7</definedName>
    <definedName name="KRUHA" localSheetId="4">#REF!</definedName>
    <definedName name="KRUHA">#REF!</definedName>
    <definedName name="ku" localSheetId="4">#REF!</definedName>
    <definedName name="ku">#REF!</definedName>
    <definedName name="KUCE_U_OBRADI" localSheetId="4">#REF!</definedName>
    <definedName name="KUCE_U_OBRADI">#REF!</definedName>
    <definedName name="KUCE_U_OBRADI_1" localSheetId="4">#REF!</definedName>
    <definedName name="KUCE_U_OBRADI_1">#REF!</definedName>
    <definedName name="KUCE_U_OBRADI_19" localSheetId="4">#REF!</definedName>
    <definedName name="KUCE_U_OBRADI_19">#REF!</definedName>
    <definedName name="KUCE_U_OBRADI_2" localSheetId="4">#REF!</definedName>
    <definedName name="KUCE_U_OBRADI_2">#REF!</definedName>
    <definedName name="KUCE_U_OBRADI_3" localSheetId="4">#REF!</definedName>
    <definedName name="KUCE_U_OBRADI_3">#REF!</definedName>
    <definedName name="KUCE_U_OBRADI_7" localSheetId="4">#REF!</definedName>
    <definedName name="KUCE_U_OBRADI_7">#REF!</definedName>
    <definedName name="KUCE_U_OBRADI_9" localSheetId="4">#REF!</definedName>
    <definedName name="KUCE_U_OBRADI_9">#REF!</definedName>
    <definedName name="kuce_u_obradi1" localSheetId="4">#REF!</definedName>
    <definedName name="kuce_u_obradi1">#REF!</definedName>
    <definedName name="L" localSheetId="4">#REF!</definedName>
    <definedName name="L">#REF!</definedName>
    <definedName name="l." localSheetId="4">#REF!</definedName>
    <definedName name="l.">#REF!</definedName>
    <definedName name="L_10" localSheetId="4">#REF!</definedName>
    <definedName name="L_10">#REF!</definedName>
    <definedName name="L_11" localSheetId="4">#REF!</definedName>
    <definedName name="L_11">#REF!</definedName>
    <definedName name="LL" localSheetId="4">'[2]Osn-Pod'!#REF!</definedName>
    <definedName name="LL">'[2]Osn-Pod'!#REF!</definedName>
    <definedName name="LLL" localSheetId="4">'[2]Osn-Pod'!#REF!</definedName>
    <definedName name="LLL">'[2]Osn-Pod'!#REF!</definedName>
    <definedName name="LLLLL" localSheetId="4">'[2]Osn-Pod'!#REF!</definedName>
    <definedName name="LLLLL">'[2]Osn-Pod'!#REF!</definedName>
    <definedName name="LLLLLLLLLL" localSheetId="4">'[2]Osn-Pod'!#REF!</definedName>
    <definedName name="LLLLLLLLLL">'[2]Osn-Pod'!#REF!</definedName>
    <definedName name="LOKACIJA1">[3]Korice!$G$33</definedName>
    <definedName name="LOKACIJA2">[3]Korice!$G$34</definedName>
    <definedName name="LUILIL" localSheetId="4">#REF!</definedName>
    <definedName name="LUILIL">#REF!</definedName>
    <definedName name="LZ" localSheetId="4">#REF!</definedName>
    <definedName name="LZ">#REF!</definedName>
    <definedName name="ljkl" localSheetId="4">#REF!</definedName>
    <definedName name="ljkl">#REF!</definedName>
    <definedName name="ljljl" localSheetId="4">#REF!</definedName>
    <definedName name="ljljl">#REF!</definedName>
    <definedName name="ma">[5]popisi!$A$1:$A$9</definedName>
    <definedName name="MAPE" localSheetId="4">'[2]Osn-Pod'!#REF!</definedName>
    <definedName name="MAPE">'[2]Osn-Pod'!#REF!</definedName>
    <definedName name="marke">[6]Sheet2!$A$1:$A$9</definedName>
    <definedName name="MJES_DIONICE" localSheetId="4">#REF!</definedName>
    <definedName name="MJES_DIONICE">#REF!</definedName>
    <definedName name="MJES_DIONICE_1" localSheetId="4">#REF!</definedName>
    <definedName name="MJES_DIONICE_1">#REF!</definedName>
    <definedName name="MJES_DIONICE_19" localSheetId="4">#REF!</definedName>
    <definedName name="MJES_DIONICE_19">#REF!</definedName>
    <definedName name="MJES_DIONICE_2" localSheetId="4">#REF!</definedName>
    <definedName name="MJES_DIONICE_2">#REF!</definedName>
    <definedName name="MJES_DIONICE_3" localSheetId="4">#REF!</definedName>
    <definedName name="MJES_DIONICE_3">#REF!</definedName>
    <definedName name="MJES_DIONICE_7" localSheetId="4">#REF!</definedName>
    <definedName name="MJES_DIONICE_7">#REF!</definedName>
    <definedName name="MJES_DIONICE_9" localSheetId="4">#REF!</definedName>
    <definedName name="MJES_DIONICE_9">#REF!</definedName>
    <definedName name="mjes_dionice1" localSheetId="4">#REF!</definedName>
    <definedName name="mjes_dionice1">#REF!</definedName>
    <definedName name="MJES_IZVR" localSheetId="4">#REF!</definedName>
    <definedName name="MJES_IZVR">#REF!</definedName>
    <definedName name="MJES_IZVR_1" localSheetId="4">#REF!</definedName>
    <definedName name="MJES_IZVR_1">#REF!</definedName>
    <definedName name="MJES_IZVR_19" localSheetId="4">#REF!</definedName>
    <definedName name="MJES_IZVR_19">#REF!</definedName>
    <definedName name="MJES_IZVR_2" localSheetId="4">#REF!</definedName>
    <definedName name="MJES_IZVR_2">#REF!</definedName>
    <definedName name="MJES_IZVR_3" localSheetId="4">#REF!</definedName>
    <definedName name="MJES_IZVR_3">#REF!</definedName>
    <definedName name="MJES_IZVR_7" localSheetId="4">#REF!</definedName>
    <definedName name="MJES_IZVR_7">#REF!</definedName>
    <definedName name="MJES_IZVR_9" localSheetId="4">#REF!</definedName>
    <definedName name="MJES_IZVR_9">#REF!</definedName>
    <definedName name="mjes_izvr1" localSheetId="4">#REF!</definedName>
    <definedName name="mjes_izvr1">#REF!</definedName>
    <definedName name="MJES_OBVEZNICE" localSheetId="4">#REF!</definedName>
    <definedName name="MJES_OBVEZNICE">#REF!</definedName>
    <definedName name="MJES_OBVEZNICE_1" localSheetId="4">#REF!</definedName>
    <definedName name="MJES_OBVEZNICE_1">#REF!</definedName>
    <definedName name="MJES_OBVEZNICE_19" localSheetId="4">#REF!</definedName>
    <definedName name="MJES_OBVEZNICE_19">#REF!</definedName>
    <definedName name="MJES_OBVEZNICE_2" localSheetId="4">#REF!</definedName>
    <definedName name="MJES_OBVEZNICE_2">#REF!</definedName>
    <definedName name="MJES_OBVEZNICE_3" localSheetId="4">#REF!</definedName>
    <definedName name="MJES_OBVEZNICE_3">#REF!</definedName>
    <definedName name="MJES_OBVEZNICE_7" localSheetId="4">#REF!</definedName>
    <definedName name="MJES_OBVEZNICE_7">#REF!</definedName>
    <definedName name="MJES_OBVEZNICE_9" localSheetId="4">#REF!</definedName>
    <definedName name="MJES_OBVEZNICE_9">#REF!</definedName>
    <definedName name="mjes_obveznice1" localSheetId="4">#REF!</definedName>
    <definedName name="mjes_obveznice1">#REF!</definedName>
    <definedName name="MJES_POC" localSheetId="4">'[2]Osn-Pod'!#REF!</definedName>
    <definedName name="MJES_POC">'[2]Osn-Pod'!#REF!</definedName>
    <definedName name="MJES_SIT" localSheetId="4">'[2]Osn-Pod'!#REF!</definedName>
    <definedName name="MJES_SIT">'[2]Osn-Pod'!#REF!</definedName>
    <definedName name="MJES_ZA_OBR" localSheetId="4">'[2]Osn-Pod'!#REF!</definedName>
    <definedName name="MJES_ZA_OBR">'[2]Osn-Pod'!#REF!</definedName>
    <definedName name="MJESTO">'[2]Osn-Pod'!$G$7</definedName>
    <definedName name="MM" localSheetId="4">'[2]Osn-Pod'!#REF!</definedName>
    <definedName name="MM">'[2]Osn-Pod'!#REF!</definedName>
    <definedName name="MMM" localSheetId="4">'[2]Osn-Pod'!#REF!</definedName>
    <definedName name="MMM">'[2]Osn-Pod'!#REF!</definedName>
    <definedName name="MMMM" localSheetId="4">'[2]Osn-Pod'!#REF!</definedName>
    <definedName name="MMMM">'[2]Osn-Pod'!#REF!</definedName>
    <definedName name="MMMMMMMMMMMM" localSheetId="4">'[2]Osn-Pod'!#REF!</definedName>
    <definedName name="MMMMMMMMMMMM">'[2]Osn-Pod'!#REF!</definedName>
    <definedName name="n" localSheetId="4">#REF!</definedName>
    <definedName name="n">#REF!</definedName>
    <definedName name="NARUCITELJ" localSheetId="4">#REF!</definedName>
    <definedName name="NARUCITELJ">#REF!</definedName>
    <definedName name="NARUČITELJ" localSheetId="4">#REF!</definedName>
    <definedName name="NARUČITELJ">#REF!</definedName>
    <definedName name="NASELJE">'[2]Osn-Pod'!$G$5</definedName>
    <definedName name="NETTO" localSheetId="4">#REF!</definedName>
    <definedName name="NETTO">#REF!</definedName>
    <definedName name="NN" localSheetId="4">'[2]Osn-Pod'!#REF!</definedName>
    <definedName name="NN">'[2]Osn-Pod'!#REF!</definedName>
    <definedName name="NNNNNNNN" localSheetId="4">'[2]Osn-Pod'!#REF!</definedName>
    <definedName name="NNNNNNNN">'[2]Osn-Pod'!#REF!</definedName>
    <definedName name="NNNNNNNNNNNN" localSheetId="4">'[2]Osn-Pod'!#REF!</definedName>
    <definedName name="NNNNNNNNNNNN">'[2]Osn-Pod'!#REF!</definedName>
    <definedName name="NNNNNNNNNNNNNNNN" localSheetId="4">#REF!</definedName>
    <definedName name="NNNNNNNNNNNNNNNN">#REF!</definedName>
    <definedName name="norme" localSheetId="4">#REF!</definedName>
    <definedName name="norme">#REF!</definedName>
    <definedName name="NOV_PRESOFFLEX_TEXT" localSheetId="4">#REF!</definedName>
    <definedName name="NOV_PRESOFFLEX_TEXT">#REF!</definedName>
    <definedName name="NOV_PRESOFFLEX_TEXT_10" localSheetId="4">#REF!</definedName>
    <definedName name="NOV_PRESOFFLEX_TEXT_10">#REF!</definedName>
    <definedName name="NOV_PRESOFFLEX_TEXT_11" localSheetId="4">#REF!</definedName>
    <definedName name="NOV_PRESOFFLEX_TEXT_11">#REF!</definedName>
    <definedName name="NOVA">#REF!</definedName>
    <definedName name="NOVO">#REF!</definedName>
    <definedName name="O" localSheetId="4">'[2]Osn-Pod'!#REF!</definedName>
    <definedName name="O">'[2]Osn-Pod'!#REF!</definedName>
    <definedName name="OBJEKT">[3]Korice!$G$31</definedName>
    <definedName name="OBJEKT1">[3]Korice!$G$31</definedName>
    <definedName name="OBJEKT2">[3]Korice!$G$32</definedName>
    <definedName name="OBJEKT3" localSheetId="4">[9]Korice!#REF!</definedName>
    <definedName name="OBJEKT3">[9]Korice!#REF!</definedName>
    <definedName name="OBVEZNICE" localSheetId="4">'[2]Osn-Pod'!#REF!</definedName>
    <definedName name="OBVEZNICE">'[2]Osn-Pod'!#REF!</definedName>
    <definedName name="ODG_PROJEKTANT" localSheetId="4">'[2]Osn-Pod'!#REF!</definedName>
    <definedName name="ODG_PROJEKTANT">'[2]Osn-Pod'!#REF!</definedName>
    <definedName name="ODG_PROJEKTANT_1" localSheetId="4">'[2]Osn-Pod'!#REF!</definedName>
    <definedName name="ODG_PROJEKTANT_1">'[2]Osn-Pod'!#REF!</definedName>
    <definedName name="ODG_PROJEKTANT_2" localSheetId="4">'[2]Osn-Pod'!#REF!</definedName>
    <definedName name="ODG_PROJEKTANT_2">'[2]Osn-Pod'!#REF!</definedName>
    <definedName name="ODG_PROJEKTANT_3" localSheetId="4">'[2]Osn-Pod'!#REF!</definedName>
    <definedName name="ODG_PROJEKTANT_3">'[2]Osn-Pod'!#REF!</definedName>
    <definedName name="OKDOEGFPO" localSheetId="4">#REF!</definedName>
    <definedName name="OKDOEGFPO">#REF!</definedName>
    <definedName name="OLE_LINK1" localSheetId="2">strojarstvo!$E$158</definedName>
    <definedName name="OPĆINA" localSheetId="4">#REF!</definedName>
    <definedName name="OPĆINA">#REF!</definedName>
    <definedName name="PEĆ" localSheetId="4">#REF!</definedName>
    <definedName name="PEĆ">#REF!</definedName>
    <definedName name="_xlnm.Print_Area" localSheetId="0">'građ-obrt'!$A$1:$G$1826</definedName>
    <definedName name="_xlnm.Print_Area" localSheetId="1">promet!$A$1:$F$439</definedName>
    <definedName name="_xlnm.Print_Area" localSheetId="2">strojarstvo!$A$1:$F$321</definedName>
    <definedName name="_xlnm.Print_Area" localSheetId="4">ViK!$A$1:$T$166</definedName>
    <definedName name="_xlnm.Print_Area">#REF!</definedName>
    <definedName name="podrucje_ispisa1" localSheetId="4">#REF!</definedName>
    <definedName name="podrucje_ispisa1">#REF!</definedName>
    <definedName name="Područje_Ispisa" localSheetId="4">#REF!</definedName>
    <definedName name="Područje_Ispisa">#REF!</definedName>
    <definedName name="Područje_Ispisa_1" localSheetId="4">#REF!</definedName>
    <definedName name="Područje_Ispisa_1">#REF!</definedName>
    <definedName name="Područje_Ispisa_10" localSheetId="4">#REF!</definedName>
    <definedName name="Područje_Ispisa_10">#REF!</definedName>
    <definedName name="Područje_Ispisa_11" localSheetId="4">#REF!</definedName>
    <definedName name="Područje_Ispisa_11">#REF!</definedName>
    <definedName name="Područje_Ispisa_17" localSheetId="4">#REF!</definedName>
    <definedName name="Područje_Ispisa_17">#REF!</definedName>
    <definedName name="Područje_Ispisa_18" localSheetId="4">#REF!</definedName>
    <definedName name="Područje_Ispisa_18">#REF!</definedName>
    <definedName name="Područje_Ispisa_2" localSheetId="4">#REF!</definedName>
    <definedName name="Područje_Ispisa_2">#REF!</definedName>
    <definedName name="Područje_Ispisa_20" localSheetId="4">#REF!</definedName>
    <definedName name="Područje_Ispisa_20">#REF!</definedName>
    <definedName name="Područje_Ispisa_21" localSheetId="4">#REF!</definedName>
    <definedName name="Područje_Ispisa_21">#REF!</definedName>
    <definedName name="Područje_Ispisa_3" localSheetId="4">#REF!</definedName>
    <definedName name="Područje_Ispisa_3">#REF!</definedName>
    <definedName name="Područje_Ispisa_4" localSheetId="4">#REF!</definedName>
    <definedName name="Područje_Ispisa_4">#REF!</definedName>
    <definedName name="Područje_Ispisa_5" localSheetId="4">#REF!</definedName>
    <definedName name="Područje_Ispisa_5">#REF!</definedName>
    <definedName name="Popis_zakona" localSheetId="4">#REF!</definedName>
    <definedName name="Popis_zakona">#REF!</definedName>
    <definedName name="POSTOJEĆE_POMOĆNE_GRAĐEVINE" localSheetId="4">[9]Korice!#REF!</definedName>
    <definedName name="POSTOJEĆE_POMOĆNE_GRAĐEVINE">[9]Korice!#REF!</definedName>
    <definedName name="POVR_IV">'[8]Osn-Pod'!$G$19</definedName>
    <definedName name="PP" localSheetId="4">#REF!</definedName>
    <definedName name="PP">#REF!</definedName>
    <definedName name="pre" localSheetId="4">#REF!</definedName>
    <definedName name="pre">#REF!</definedName>
    <definedName name="PREDH_SIT" localSheetId="4">#REF!</definedName>
    <definedName name="PREDH_SIT">#REF!</definedName>
    <definedName name="PREDH_SIT_1" localSheetId="4">#REF!</definedName>
    <definedName name="PREDH_SIT_1">#REF!</definedName>
    <definedName name="PREDH_SIT_19" localSheetId="4">#REF!</definedName>
    <definedName name="PREDH_SIT_19">#REF!</definedName>
    <definedName name="PREDH_SIT_2" localSheetId="4">#REF!</definedName>
    <definedName name="PREDH_SIT_2">#REF!</definedName>
    <definedName name="PREDH_SIT_3" localSheetId="4">#REF!</definedName>
    <definedName name="PREDH_SIT_3">#REF!</definedName>
    <definedName name="PREDH_SIT_7" localSheetId="4">#REF!</definedName>
    <definedName name="PREDH_SIT_7">#REF!</definedName>
    <definedName name="PREDH_SIT_9" localSheetId="4">#REF!</definedName>
    <definedName name="PREDH_SIT_9">#REF!</definedName>
    <definedName name="predh_sit1" localSheetId="4">#REF!</definedName>
    <definedName name="predh_sit1">#REF!</definedName>
    <definedName name="Predmjer" localSheetId="4">#REF!</definedName>
    <definedName name="Predmjer">#REF!</definedName>
    <definedName name="Predmjer_19" localSheetId="4">#REF!</definedName>
    <definedName name="Predmjer_19">#REF!</definedName>
    <definedName name="Predmjer_3" localSheetId="4">#REF!</definedName>
    <definedName name="Predmjer_3">#REF!</definedName>
    <definedName name="Predmjer_7" localSheetId="4">#REF!</definedName>
    <definedName name="Predmjer_7">#REF!</definedName>
    <definedName name="PREZIME" localSheetId="4">#REF!</definedName>
    <definedName name="PREZIME">#REF!</definedName>
    <definedName name="Print_Area_17" localSheetId="4">#REF!</definedName>
    <definedName name="Print_Area_17">#REF!</definedName>
    <definedName name="Print_Area_19" localSheetId="4">#REF!</definedName>
    <definedName name="Print_Area_19">#REF!</definedName>
    <definedName name="Print_Area_3" localSheetId="4">#REF!</definedName>
    <definedName name="Print_Area_3">#REF!</definedName>
    <definedName name="Print_Area_4" localSheetId="4">#REF!</definedName>
    <definedName name="Print_Area_4">#REF!</definedName>
    <definedName name="Print_Area_5" localSheetId="4">#REF!</definedName>
    <definedName name="Print_Area_5">#REF!</definedName>
    <definedName name="Print_Area_7" localSheetId="4">#REF!</definedName>
    <definedName name="Print_Area_7">#REF!</definedName>
    <definedName name="Print_Area_MI">#REF!</definedName>
    <definedName name="print_area1" localSheetId="4">#REF!</definedName>
    <definedName name="print_area1">#REF!</definedName>
    <definedName name="Print_tritles" localSheetId="4">#REF!</definedName>
    <definedName name="Print_tritles">#REF!</definedName>
    <definedName name="Print_tritles_1" localSheetId="4">#REF!</definedName>
    <definedName name="Print_tritles_1">#REF!</definedName>
    <definedName name="Print_tritles_10" localSheetId="4">#REF!</definedName>
    <definedName name="Print_tritles_10">#REF!</definedName>
    <definedName name="Print_tritles_11" localSheetId="4">#REF!</definedName>
    <definedName name="Print_tritles_11">#REF!</definedName>
    <definedName name="Print_tritles_17" localSheetId="4">#REF!</definedName>
    <definedName name="Print_tritles_17">#REF!</definedName>
    <definedName name="Print_tritles_18" localSheetId="4">#REF!</definedName>
    <definedName name="Print_tritles_18">#REF!</definedName>
    <definedName name="Print_tritles_19" localSheetId="4">#REF!</definedName>
    <definedName name="Print_tritles_19">#REF!</definedName>
    <definedName name="Print_tritles_2" localSheetId="4">#REF!</definedName>
    <definedName name="Print_tritles_2">#REF!</definedName>
    <definedName name="Print_tritles_20" localSheetId="4">#REF!</definedName>
    <definedName name="Print_tritles_20">#REF!</definedName>
    <definedName name="Print_tritles_21" localSheetId="4">#REF!</definedName>
    <definedName name="Print_tritles_21">#REF!</definedName>
    <definedName name="Print_tritles_23" localSheetId="4">#REF!</definedName>
    <definedName name="Print_tritles_23">#REF!</definedName>
    <definedName name="Print_tritles_25" localSheetId="4">#REF!</definedName>
    <definedName name="Print_tritles_25">#REF!</definedName>
    <definedName name="Print_tritles_27" localSheetId="4">#REF!</definedName>
    <definedName name="Print_tritles_27">#REF!</definedName>
    <definedName name="Print_tritles_3" localSheetId="4">#REF!</definedName>
    <definedName name="Print_tritles_3">#REF!</definedName>
    <definedName name="Print_tritles_4" localSheetId="4">#REF!</definedName>
    <definedName name="Print_tritles_4">#REF!</definedName>
    <definedName name="Print_tritles_5" localSheetId="4">#REF!</definedName>
    <definedName name="Print_tritles_5">#REF!</definedName>
    <definedName name="Print_tritles_6" localSheetId="4">#REF!</definedName>
    <definedName name="Print_tritles_6">#REF!</definedName>
    <definedName name="Print_tritles_7" localSheetId="4">#REF!</definedName>
    <definedName name="Print_tritles_7">#REF!</definedName>
    <definedName name="Print_tritles_8" localSheetId="4">#REF!</definedName>
    <definedName name="Print_tritles_8">#REF!</definedName>
    <definedName name="Print_tritles_9" localSheetId="4">#REF!</definedName>
    <definedName name="Print_tritles_9">#REF!</definedName>
    <definedName name="printa" localSheetId="4">#REF!</definedName>
    <definedName name="printa">#REF!</definedName>
    <definedName name="printa_1" localSheetId="4">#REF!</definedName>
    <definedName name="printa_1">#REF!</definedName>
    <definedName name="printa_19" localSheetId="4">#REF!</definedName>
    <definedName name="printa_19">#REF!</definedName>
    <definedName name="printa_2" localSheetId="4">#REF!</definedName>
    <definedName name="printa_2">#REF!</definedName>
    <definedName name="printa_3" localSheetId="4">#REF!</definedName>
    <definedName name="printa_3">#REF!</definedName>
    <definedName name="printa_7" localSheetId="4">#REF!</definedName>
    <definedName name="printa_7">#REF!</definedName>
    <definedName name="printa_9" localSheetId="4">#REF!</definedName>
    <definedName name="printa_9">#REF!</definedName>
    <definedName name="printa1" localSheetId="4">#REF!</definedName>
    <definedName name="printa1">#REF!</definedName>
    <definedName name="PRIV_SIT_II" localSheetId="4">#REF!</definedName>
    <definedName name="PRIV_SIT_II">#REF!</definedName>
    <definedName name="PRIV_SIT_II_1" localSheetId="4">#REF!</definedName>
    <definedName name="PRIV_SIT_II_1">#REF!</definedName>
    <definedName name="PRIV_SIT_II_19" localSheetId="4">#REF!</definedName>
    <definedName name="PRIV_SIT_II_19">#REF!</definedName>
    <definedName name="PRIV_SIT_II_2" localSheetId="4">#REF!</definedName>
    <definedName name="PRIV_SIT_II_2">#REF!</definedName>
    <definedName name="PRIV_SIT_II_3" localSheetId="4">#REF!</definedName>
    <definedName name="PRIV_SIT_II_3">#REF!</definedName>
    <definedName name="PRIV_SIT_II_7" localSheetId="4">#REF!</definedName>
    <definedName name="PRIV_SIT_II_7">#REF!</definedName>
    <definedName name="PRIV_SIT_II_9" localSheetId="4">#REF!</definedName>
    <definedName name="PRIV_SIT_II_9">#REF!</definedName>
    <definedName name="priv_sit_ii1" localSheetId="4">#REF!</definedName>
    <definedName name="priv_sit_ii1">#REF!</definedName>
    <definedName name="PRO_KRAJ_RADA" localSheetId="4">'[2]Osn-Pod'!#REF!</definedName>
    <definedName name="PRO_KRAJ_RADA">'[2]Osn-Pod'!#REF!</definedName>
    <definedName name="proba" localSheetId="4">#REF!</definedName>
    <definedName name="PROJEKTANT" localSheetId="4">#REF!</definedName>
    <definedName name="PROJEKTANT">#REF!</definedName>
    <definedName name="PROJEKTANT1">'[2]Osn-Pod'!$C$15</definedName>
    <definedName name="PROJEKTANT2">'[2]Osn-Pod'!$C$16</definedName>
    <definedName name="q" localSheetId="4">#REF!</definedName>
    <definedName name="q">#REF!</definedName>
    <definedName name="qre" localSheetId="4">#REF!</definedName>
    <definedName name="qre">#REF!</definedName>
    <definedName name="QW" localSheetId="4">#REF!</definedName>
    <definedName name="QW">#REF!</definedName>
    <definedName name="recorder1" localSheetId="4">#REF!</definedName>
    <definedName name="recorder1">#REF!</definedName>
    <definedName name="RED">#REF!</definedName>
    <definedName name="RED_BR_SIT" localSheetId="4">'[2]Osn-Pod'!#REF!</definedName>
    <definedName name="RED_BR_SIT">'[2]Osn-Pod'!#REF!</definedName>
    <definedName name="REGISTRATOR" localSheetId="4" hidden="1">#REF!</definedName>
    <definedName name="REGISTRATOR" hidden="1">#REF!</definedName>
    <definedName name="RF" localSheetId="4">#REF!</definedName>
    <definedName name="RF">#REF!</definedName>
    <definedName name="rr" localSheetId="4">#REF!</definedName>
    <definedName name="rr">#REF!</definedName>
    <definedName name="rt" localSheetId="4">#REF!</definedName>
    <definedName name="rt">#REF!</definedName>
    <definedName name="s" localSheetId="4">#REF!</definedName>
    <definedName name="s">#REF!</definedName>
    <definedName name="SASA1" localSheetId="4">#REF!</definedName>
    <definedName name="SASA1">#REF!</definedName>
    <definedName name="sava" localSheetId="4">#REF!</definedName>
    <definedName name="sava">#REF!</definedName>
    <definedName name="SIFRA">'[8]Osn-Pod'!$G$11</definedName>
    <definedName name="SIFRA_UPUTE">'[2]Osn-Pod'!$E$10</definedName>
    <definedName name="SIT_BROJ" localSheetId="4">'[2]Osn-Pod'!#REF!</definedName>
    <definedName name="SIT_BROJ">'[2]Osn-Pod'!#REF!</definedName>
    <definedName name="Skica">INDIRECT('[10]ploča201 i 202'!$H$99)</definedName>
    <definedName name="_xlnm.Recorder" localSheetId="4">#REF!</definedName>
    <definedName name="_xlnm.Recorder">#REF!</definedName>
    <definedName name="ss" localSheetId="4" hidden="1">#REF!</definedName>
    <definedName name="ss" hidden="1">#REF!</definedName>
    <definedName name="sss" localSheetId="4">'[2]Osn-Pod'!#REF!</definedName>
    <definedName name="sss">'[2]Osn-Pod'!#REF!</definedName>
    <definedName name="ssssssssss" localSheetId="4">#REF!</definedName>
    <definedName name="ssssssssss">#REF!</definedName>
    <definedName name="ssssssssssss" localSheetId="4">'[2]Osn-Pod'!#REF!</definedName>
    <definedName name="ssssssssssss">'[2]Osn-Pod'!#REF!</definedName>
    <definedName name="sssssssssssssssss" localSheetId="4">#REF!</definedName>
    <definedName name="sssssssssssssssss">#REF!</definedName>
    <definedName name="ssssssssssssssssssssss" localSheetId="4">'[2]Osn-Pod'!#REF!</definedName>
    <definedName name="ssssssssssssssssssssss">'[2]Osn-Pod'!#REF!</definedName>
    <definedName name="ssv" localSheetId="4">#REF!</definedName>
    <definedName name="ssv">#REF!</definedName>
    <definedName name="stambeno_zbrinjavanje_na_ppds___1_" localSheetId="4">#REF!</definedName>
    <definedName name="stambeno_zbrinjavanje_na_ppds___1_">#REF!</definedName>
    <definedName name="STROJARSTVO">#REF!</definedName>
    <definedName name="sw" localSheetId="4">#REF!</definedName>
    <definedName name="sw">#REF!</definedName>
    <definedName name="t" localSheetId="4">#REF!</definedName>
    <definedName name="t">#REF!</definedName>
    <definedName name="TB" localSheetId="4">#REF!</definedName>
    <definedName name="TB">#REF!</definedName>
    <definedName name="TC" localSheetId="4">#REF!</definedName>
    <definedName name="TC">#REF!</definedName>
    <definedName name="TD">[3]Korice!$G$36</definedName>
    <definedName name="TEK_RACUN" localSheetId="4">'[2]Osn-Pod'!#REF!</definedName>
    <definedName name="TEK_RACUN">'[2]Osn-Pod'!#REF!</definedName>
    <definedName name="test">#REF!</definedName>
    <definedName name="tg" localSheetId="4">#REF!</definedName>
    <definedName name="tg">#REF!</definedName>
    <definedName name="thr" localSheetId="4">#REF!</definedName>
    <definedName name="thr">#REF!</definedName>
    <definedName name="Tip_gredice">[10]Sheet2!$A$2:$A$8</definedName>
    <definedName name="TKTZK" localSheetId="4">#REF!</definedName>
    <definedName name="TKTZK">#REF!</definedName>
    <definedName name="Trosk_Dolje" localSheetId="4">#REF!</definedName>
    <definedName name="Trosk_Dolje">#REF!</definedName>
    <definedName name="UGOV_AVANS" localSheetId="4">'[2]Osn-Pod'!#REF!</definedName>
    <definedName name="UGOV_AVANS">'[2]Osn-Pod'!#REF!</definedName>
    <definedName name="UGOV_KRAJ_RADA" localSheetId="4">'[2]Osn-Pod'!#REF!</definedName>
    <definedName name="UGOV_KRAJ_RADA">'[2]Osn-Pod'!#REF!</definedName>
    <definedName name="UGOV_POC_RADA" localSheetId="4">'[2]Osn-Pod'!#REF!</definedName>
    <definedName name="UGOV_POC_RADA">'[2]Osn-Pod'!#REF!</definedName>
    <definedName name="UHZIUHIUH" localSheetId="4">#REF!</definedName>
    <definedName name="UHZIUHIUH">#REF!</definedName>
    <definedName name="UKUPNO1">[1]ZEMLJAN!$F$10</definedName>
    <definedName name="UKUPNO10">#REF!</definedName>
    <definedName name="UKUPNO11">#REF!</definedName>
    <definedName name="UKUPNO12">[1]soboslik!#REF!</definedName>
    <definedName name="UKUPNO13">'[1]razni '!#REF!</definedName>
    <definedName name="UKUPNO14">#REF!</definedName>
    <definedName name="UKUPNO15">#REF!</definedName>
    <definedName name="UKUPNO16">#REF!</definedName>
    <definedName name="UKUPNO17">#REF!</definedName>
    <definedName name="UKUPNO18">#REF!</definedName>
    <definedName name="UKUPNO19">#REF!</definedName>
    <definedName name="UKUPNO2">'[11]RAZNI RADOVI'!$F$22</definedName>
    <definedName name="UKUPNO20">#REF!</definedName>
    <definedName name="UKUPNO3">#REF!</definedName>
    <definedName name="UKUPNO4">[1]izolacija!$F$13</definedName>
    <definedName name="UKUPNO5">'[1]oprema dvor.'!$F$28</definedName>
    <definedName name="UKUPNO6">[1]okoliš!$F$25</definedName>
    <definedName name="UKUPNO7">#REF!</definedName>
    <definedName name="UKUPNO8">[1]elektr!#REF!</definedName>
    <definedName name="UKUPNO9">[1]PLIN!#REF!</definedName>
    <definedName name="UPOJNI" localSheetId="4" hidden="1">#REF!</definedName>
    <definedName name="UPOJNI" hidden="1">#REF!</definedName>
    <definedName name="UPOJNI_B" localSheetId="4">#REF!</definedName>
    <definedName name="UPOJNI_B">#REF!</definedName>
    <definedName name="v" localSheetId="4">#REF!</definedName>
    <definedName name="v">#REF!</definedName>
    <definedName name="v_21" localSheetId="4">#REF!</definedName>
    <definedName name="v_21">#REF!</definedName>
    <definedName name="VI" localSheetId="4">#REF!</definedName>
    <definedName name="VI">#REF!</definedName>
    <definedName name="VI_1" localSheetId="4">#REF!</definedName>
    <definedName name="VI_1">#REF!</definedName>
    <definedName name="VI_19" localSheetId="4">#REF!</definedName>
    <definedName name="VI_19">#REF!</definedName>
    <definedName name="VI_2" localSheetId="4">#REF!</definedName>
    <definedName name="VI_2">#REF!</definedName>
    <definedName name="VI_3" localSheetId="4">#REF!</definedName>
    <definedName name="VI_3">#REF!</definedName>
    <definedName name="VI_7" localSheetId="4">#REF!</definedName>
    <definedName name="VI_7">#REF!</definedName>
    <definedName name="VI_9" localSheetId="4">#REF!</definedName>
    <definedName name="VI_9">#REF!</definedName>
    <definedName name="VII" localSheetId="4">#REF!</definedName>
    <definedName name="VII">#REF!</definedName>
    <definedName name="VII_1" localSheetId="4">#REF!</definedName>
    <definedName name="VII_1">#REF!</definedName>
    <definedName name="VII_19" localSheetId="4">#REF!</definedName>
    <definedName name="VII_19">#REF!</definedName>
    <definedName name="VII_2" localSheetId="4">#REF!</definedName>
    <definedName name="VII_2">#REF!</definedName>
    <definedName name="VII_3" localSheetId="4">#REF!</definedName>
    <definedName name="VII_3">#REF!</definedName>
    <definedName name="VII_7" localSheetId="4">#REF!</definedName>
    <definedName name="VII_7">#REF!</definedName>
    <definedName name="VII_9" localSheetId="4">#REF!</definedName>
    <definedName name="VII_9">#REF!</definedName>
    <definedName name="VIII" localSheetId="4">#REF!</definedName>
    <definedName name="VIII">#REF!</definedName>
    <definedName name="VIII_1" localSheetId="4">#REF!</definedName>
    <definedName name="VIII_1">#REF!</definedName>
    <definedName name="VIII_19" localSheetId="4">#REF!</definedName>
    <definedName name="VIII_19">#REF!</definedName>
    <definedName name="VIII_2" localSheetId="4">#REF!</definedName>
    <definedName name="VIII_2">#REF!</definedName>
    <definedName name="VIII_3" localSheetId="4">#REF!</definedName>
    <definedName name="VIII_3">#REF!</definedName>
    <definedName name="VIII_7" localSheetId="4">#REF!</definedName>
    <definedName name="VIII_7">#REF!</definedName>
    <definedName name="VIII_9" localSheetId="4">#REF!</definedName>
    <definedName name="VIII_9">#REF!</definedName>
    <definedName name="viii1" localSheetId="4">#REF!</definedName>
    <definedName name="viii1">#REF!</definedName>
    <definedName name="VIK_PIPERKOVIĆ" localSheetId="4">#REF!</definedName>
    <definedName name="VIK_PIPERKOVIĆ">#REF!</definedName>
    <definedName name="VOD_PROJ" localSheetId="4">#REF!</definedName>
    <definedName name="VOD_PROJ">#REF!</definedName>
    <definedName name="VRSTA_SIT" localSheetId="4">'[2]Osn-Pod'!#REF!</definedName>
    <definedName name="VRSTA_SIT">'[2]Osn-Pod'!#REF!</definedName>
    <definedName name="vvv" localSheetId="4">'[2]Osn-Pod'!#REF!</definedName>
    <definedName name="vvv">'[2]Osn-Pod'!#REF!</definedName>
    <definedName name="vvvvv" localSheetId="4">'[2]Osn-Pod'!#REF!</definedName>
    <definedName name="vvvvv">'[2]Osn-Pod'!#REF!</definedName>
    <definedName name="vvvvvvvvvvvvvvvv" localSheetId="4">'[2]Osn-Pod'!#REF!</definedName>
    <definedName name="vvvvvvvvvvvvvvvv">'[2]Osn-Pod'!#REF!</definedName>
    <definedName name="vxdbd" localSheetId="4">#REF!</definedName>
    <definedName name="vxdbd">#REF!</definedName>
    <definedName name="w">'[12]Osn-Pod'!$G$12</definedName>
    <definedName name="wer" localSheetId="4">#REF!</definedName>
    <definedName name="wer">#REF!</definedName>
    <definedName name="ww" localSheetId="4">#REF!</definedName>
    <definedName name="ww">#REF!</definedName>
    <definedName name="X" localSheetId="4">#REF!</definedName>
    <definedName name="X">#REF!</definedName>
    <definedName name="X_1" localSheetId="4">#REF!</definedName>
    <definedName name="X_1">#REF!</definedName>
    <definedName name="X_19" localSheetId="4">#REF!</definedName>
    <definedName name="X_19">#REF!</definedName>
    <definedName name="X_2" localSheetId="4">#REF!</definedName>
    <definedName name="X_2">#REF!</definedName>
    <definedName name="X_3" localSheetId="4">#REF!</definedName>
    <definedName name="X_3">#REF!</definedName>
    <definedName name="X_7" localSheetId="4">#REF!</definedName>
    <definedName name="X_7">#REF!</definedName>
    <definedName name="X_9" localSheetId="4">#REF!</definedName>
    <definedName name="X_9">#REF!</definedName>
    <definedName name="XI" localSheetId="4">#REF!</definedName>
    <definedName name="XI">#REF!</definedName>
    <definedName name="XI_1" localSheetId="4">#REF!</definedName>
    <definedName name="XI_1">#REF!</definedName>
    <definedName name="XI_19" localSheetId="4">#REF!</definedName>
    <definedName name="XI_19">#REF!</definedName>
    <definedName name="XI_2" localSheetId="4">#REF!</definedName>
    <definedName name="XI_2">#REF!</definedName>
    <definedName name="XI_3" localSheetId="4">#REF!</definedName>
    <definedName name="XI_3">#REF!</definedName>
    <definedName name="XI_7" localSheetId="4">#REF!</definedName>
    <definedName name="XI_7">#REF!</definedName>
    <definedName name="XI_9" localSheetId="4">#REF!</definedName>
    <definedName name="XI_9">#REF!</definedName>
    <definedName name="XII" localSheetId="4">#REF!</definedName>
    <definedName name="XII">#REF!</definedName>
    <definedName name="XII_1" localSheetId="4">#REF!</definedName>
    <definedName name="XII_1">#REF!</definedName>
    <definedName name="XII_19" localSheetId="4">#REF!</definedName>
    <definedName name="XII_19">#REF!</definedName>
    <definedName name="XII_2" localSheetId="4">#REF!</definedName>
    <definedName name="XII_2">#REF!</definedName>
    <definedName name="XII_3" localSheetId="4">#REF!</definedName>
    <definedName name="XII_3">#REF!</definedName>
    <definedName name="XII_7" localSheetId="4">#REF!</definedName>
    <definedName name="XII_7">#REF!</definedName>
    <definedName name="XII_9" localSheetId="4">#REF!</definedName>
    <definedName name="XII_9">#REF!</definedName>
    <definedName name="xii1" localSheetId="4">#REF!</definedName>
    <definedName name="xii1">#REF!</definedName>
    <definedName name="XIII" localSheetId="4">#REF!</definedName>
    <definedName name="XIII">#REF!</definedName>
    <definedName name="XIII_1" localSheetId="4">#REF!</definedName>
    <definedName name="XIII_1">#REF!</definedName>
    <definedName name="XIII_19" localSheetId="4">#REF!</definedName>
    <definedName name="XIII_19">#REF!</definedName>
    <definedName name="XIII_2" localSheetId="4">#REF!</definedName>
    <definedName name="XIII_2">#REF!</definedName>
    <definedName name="XIII_3" localSheetId="4">#REF!</definedName>
    <definedName name="XIII_3">#REF!</definedName>
    <definedName name="XIII_7" localSheetId="4">#REF!</definedName>
    <definedName name="XIII_7">#REF!</definedName>
    <definedName name="XIII_9" localSheetId="4">#REF!</definedName>
    <definedName name="XIII_9">#REF!</definedName>
    <definedName name="xiii1" localSheetId="4">#REF!</definedName>
    <definedName name="xiii1">#REF!</definedName>
    <definedName name="XIV" localSheetId="4">#REF!</definedName>
    <definedName name="XIV">#REF!</definedName>
    <definedName name="XIV_1" localSheetId="4">#REF!</definedName>
    <definedName name="XIV_1">#REF!</definedName>
    <definedName name="XIV_19" localSheetId="4">#REF!</definedName>
    <definedName name="XIV_19">#REF!</definedName>
    <definedName name="XIV_2" localSheetId="4">#REF!</definedName>
    <definedName name="XIV_2">#REF!</definedName>
    <definedName name="XIV_3" localSheetId="4">#REF!</definedName>
    <definedName name="XIV_3">#REF!</definedName>
    <definedName name="XIV_7" localSheetId="4">#REF!</definedName>
    <definedName name="XIV_7">#REF!</definedName>
    <definedName name="XIV_9" localSheetId="4">#REF!</definedName>
    <definedName name="XIV_9">#REF!</definedName>
    <definedName name="xiv1" localSheetId="4">#REF!</definedName>
    <definedName name="xiv1">#REF!</definedName>
    <definedName name="XV" localSheetId="4">#REF!</definedName>
    <definedName name="XV">#REF!</definedName>
    <definedName name="XV_1" localSheetId="4">#REF!</definedName>
    <definedName name="XV_1">#REF!</definedName>
    <definedName name="XV_19" localSheetId="4">#REF!</definedName>
    <definedName name="XV_19">#REF!</definedName>
    <definedName name="XV_2" localSheetId="4">#REF!</definedName>
    <definedName name="XV_2">#REF!</definedName>
    <definedName name="XV_3" localSheetId="4">#REF!</definedName>
    <definedName name="XV_3">#REF!</definedName>
    <definedName name="XV_7" localSheetId="4">#REF!</definedName>
    <definedName name="XV_7">#REF!</definedName>
    <definedName name="XV_9" localSheetId="4">#REF!</definedName>
    <definedName name="XV_9">#REF!</definedName>
    <definedName name="XX" localSheetId="4">#REF!</definedName>
    <definedName name="XX">#REF!</definedName>
    <definedName name="XX_1" localSheetId="4">#REF!</definedName>
    <definedName name="XX_1">#REF!</definedName>
    <definedName name="XX_19" localSheetId="4">#REF!</definedName>
    <definedName name="XX_19">#REF!</definedName>
    <definedName name="XX_2" localSheetId="4">#REF!</definedName>
    <definedName name="XX_2">#REF!</definedName>
    <definedName name="XX_3" localSheetId="4">#REF!</definedName>
    <definedName name="XX_3">#REF!</definedName>
    <definedName name="XX_7" localSheetId="4">#REF!</definedName>
    <definedName name="XX_7">#REF!</definedName>
    <definedName name="XX_9" localSheetId="4">#REF!</definedName>
    <definedName name="XX_9">#REF!</definedName>
    <definedName name="XXX" localSheetId="4">#REF!</definedName>
    <definedName name="XXX">#REF!</definedName>
    <definedName name="XXX_1" localSheetId="4">#REF!</definedName>
    <definedName name="XXX_1">#REF!</definedName>
    <definedName name="XXX_19" localSheetId="4">#REF!</definedName>
    <definedName name="XXX_19">#REF!</definedName>
    <definedName name="XXX_2" localSheetId="4">#REF!</definedName>
    <definedName name="XXX_2">#REF!</definedName>
    <definedName name="XXX_3" localSheetId="4">#REF!</definedName>
    <definedName name="XXX_3">#REF!</definedName>
    <definedName name="XXX_7" localSheetId="4">#REF!</definedName>
    <definedName name="XXX_7">#REF!</definedName>
    <definedName name="XXX_9" localSheetId="4">#REF!</definedName>
    <definedName name="XXX_9">#REF!</definedName>
    <definedName name="xxx1" localSheetId="4">#REF!</definedName>
    <definedName name="xxx1">#REF!</definedName>
    <definedName name="xyz" localSheetId="4">#REF!</definedName>
    <definedName name="xyz">#REF!</definedName>
    <definedName name="xyz_1" localSheetId="4">#REF!</definedName>
    <definedName name="xyz_1">#REF!</definedName>
    <definedName name="xyz_19" localSheetId="4">#REF!</definedName>
    <definedName name="xyz_19">#REF!</definedName>
    <definedName name="xyz_2" localSheetId="4">#REF!</definedName>
    <definedName name="xyz_2">#REF!</definedName>
    <definedName name="xyz_3" localSheetId="4">#REF!</definedName>
    <definedName name="xyz_3">#REF!</definedName>
    <definedName name="xyz_7" localSheetId="4">#REF!</definedName>
    <definedName name="xyz_7">#REF!</definedName>
    <definedName name="xyz_9" localSheetId="4">#REF!</definedName>
    <definedName name="xyz_9">#REF!</definedName>
    <definedName name="xyz1" localSheetId="4">#REF!</definedName>
    <definedName name="xyz1">#REF!</definedName>
    <definedName name="ZAP" localSheetId="4">'[2]Osn-Pod'!#REF!</definedName>
    <definedName name="ZAP">'[2]Osn-Pod'!#REF!</definedName>
    <definedName name="zh" localSheetId="4">#REF!</definedName>
    <definedName name="zh">#REF!</definedName>
    <definedName name="ŽUPANIJA" localSheetId="4">#REF!</definedName>
    <definedName name="ŽUPANIJ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19" i="28" l="1"/>
  <c r="G458" i="32" l="1"/>
  <c r="G459" i="32"/>
  <c r="G460" i="32"/>
  <c r="G461" i="32"/>
  <c r="G462" i="32"/>
  <c r="G463" i="32"/>
  <c r="G464" i="32"/>
  <c r="G465" i="32"/>
  <c r="G409" i="32"/>
  <c r="G410" i="32"/>
  <c r="G411" i="32"/>
  <c r="G412" i="32"/>
  <c r="G413" i="32"/>
  <c r="G414" i="32"/>
  <c r="G415" i="32"/>
  <c r="G416" i="32"/>
  <c r="G417" i="32"/>
  <c r="G418" i="32"/>
  <c r="G419" i="32"/>
  <c r="G420" i="32"/>
  <c r="G421" i="32"/>
  <c r="G422" i="32"/>
  <c r="G423" i="32"/>
  <c r="G424" i="32"/>
  <c r="G425" i="32"/>
  <c r="G426" i="32"/>
  <c r="G427" i="32"/>
  <c r="G428" i="32"/>
  <c r="G429" i="32"/>
  <c r="G430" i="32"/>
  <c r="G431" i="32"/>
  <c r="G432" i="32"/>
  <c r="G433" i="32"/>
  <c r="G434" i="32"/>
  <c r="G435" i="32"/>
  <c r="G436" i="32"/>
  <c r="G437" i="32"/>
  <c r="G438" i="32"/>
  <c r="G439" i="32"/>
  <c r="G440" i="32"/>
  <c r="G441" i="32"/>
  <c r="G442" i="32"/>
  <c r="G443" i="32"/>
  <c r="G444" i="32"/>
  <c r="G445" i="32"/>
  <c r="G446" i="32"/>
  <c r="G447" i="32"/>
  <c r="G448" i="32"/>
  <c r="G449" i="32"/>
  <c r="G450" i="32"/>
  <c r="G451" i="32"/>
  <c r="G452" i="32"/>
  <c r="G408" i="32"/>
  <c r="G387" i="32"/>
  <c r="G388" i="32"/>
  <c r="G389" i="32"/>
  <c r="G390" i="32"/>
  <c r="G391" i="32"/>
  <c r="G392" i="32"/>
  <c r="G393" i="32"/>
  <c r="G394" i="32"/>
  <c r="G395" i="32"/>
  <c r="G396" i="32"/>
  <c r="G397" i="32"/>
  <c r="G398" i="32"/>
  <c r="G399" i="32"/>
  <c r="G400" i="32"/>
  <c r="G386" i="32"/>
  <c r="G363" i="32"/>
  <c r="G364" i="32"/>
  <c r="G365" i="32"/>
  <c r="G366" i="32"/>
  <c r="G367" i="32"/>
  <c r="G368" i="32"/>
  <c r="G369" i="32"/>
  <c r="G370" i="32"/>
  <c r="G371" i="32"/>
  <c r="G372" i="32"/>
  <c r="G373" i="32"/>
  <c r="G374" i="32"/>
  <c r="G375" i="32"/>
  <c r="G376" i="32"/>
  <c r="G377" i="32"/>
  <c r="G378" i="32"/>
  <c r="G362" i="32"/>
  <c r="G353" i="32"/>
  <c r="G354" i="32"/>
  <c r="G355" i="32"/>
  <c r="G352" i="32"/>
  <c r="G349" i="32"/>
  <c r="G344" i="32"/>
  <c r="G345" i="32"/>
  <c r="G346" i="32"/>
  <c r="G341" i="32"/>
  <c r="G342" i="32"/>
  <c r="G343" i="32"/>
  <c r="G340" i="32"/>
  <c r="G333" i="32"/>
  <c r="G334" i="32"/>
  <c r="G335" i="32"/>
  <c r="G336" i="32"/>
  <c r="G337" i="32"/>
  <c r="G332" i="32"/>
  <c r="G328" i="32"/>
  <c r="G329" i="32"/>
  <c r="G322" i="32"/>
  <c r="G323" i="32"/>
  <c r="G324" i="32"/>
  <c r="G325" i="32"/>
  <c r="G326" i="32"/>
  <c r="G327" i="32"/>
  <c r="G321" i="32"/>
  <c r="G314" i="32"/>
  <c r="G313" i="32"/>
  <c r="G312" i="32"/>
  <c r="G311" i="32"/>
  <c r="G310" i="32"/>
  <c r="G309" i="32"/>
  <c r="G308" i="32"/>
  <c r="G307" i="32"/>
  <c r="G306" i="32"/>
  <c r="G304" i="32"/>
  <c r="G303" i="32"/>
  <c r="G299" i="32"/>
  <c r="G300" i="32"/>
  <c r="G301" i="32"/>
  <c r="G298" i="32"/>
  <c r="G290" i="32"/>
  <c r="G291" i="32"/>
  <c r="G292" i="32"/>
  <c r="G293" i="32"/>
  <c r="G294" i="32"/>
  <c r="G295" i="32"/>
  <c r="G296" i="32"/>
  <c r="G289" i="32"/>
  <c r="G288" i="32"/>
  <c r="G286" i="32"/>
  <c r="G285" i="32"/>
  <c r="G284" i="32"/>
  <c r="G283" i="32"/>
  <c r="G282" i="32"/>
  <c r="G263" i="32"/>
  <c r="G264" i="32"/>
  <c r="G265" i="32"/>
  <c r="G266" i="32"/>
  <c r="G267" i="32"/>
  <c r="G268" i="32"/>
  <c r="G269" i="32"/>
  <c r="G270" i="32"/>
  <c r="G271" i="32"/>
  <c r="G272" i="32"/>
  <c r="G273" i="32"/>
  <c r="G274" i="32"/>
  <c r="G275" i="32"/>
  <c r="G262" i="32"/>
  <c r="G245" i="32"/>
  <c r="G246" i="32"/>
  <c r="G247" i="32"/>
  <c r="G248" i="32"/>
  <c r="G249" i="32"/>
  <c r="G250" i="32"/>
  <c r="G251" i="32"/>
  <c r="G252" i="32"/>
  <c r="G253" i="32"/>
  <c r="G254" i="32"/>
  <c r="G255" i="32"/>
  <c r="G256" i="32"/>
  <c r="G257" i="32"/>
  <c r="G258" i="32"/>
  <c r="G244" i="32"/>
  <c r="G224" i="32"/>
  <c r="G225" i="32"/>
  <c r="G226" i="32"/>
  <c r="G227" i="32"/>
  <c r="G228" i="32"/>
  <c r="G229" i="32"/>
  <c r="G230" i="32"/>
  <c r="G231" i="32"/>
  <c r="G232" i="32"/>
  <c r="G233" i="32"/>
  <c r="G234" i="32"/>
  <c r="G235" i="32"/>
  <c r="G236" i="32"/>
  <c r="G223" i="32"/>
  <c r="G206" i="32"/>
  <c r="G207" i="32"/>
  <c r="G208" i="32"/>
  <c r="G209" i="32"/>
  <c r="G210" i="32"/>
  <c r="G211" i="32"/>
  <c r="G212" i="32"/>
  <c r="G213" i="32"/>
  <c r="G214" i="32"/>
  <c r="G215" i="32"/>
  <c r="G216" i="32"/>
  <c r="G217" i="32"/>
  <c r="G218" i="32"/>
  <c r="G219" i="32"/>
  <c r="G205" i="32"/>
  <c r="G185" i="32"/>
  <c r="G186" i="32"/>
  <c r="G187" i="32"/>
  <c r="G188" i="32"/>
  <c r="G189" i="32"/>
  <c r="G190" i="32"/>
  <c r="G191" i="32"/>
  <c r="G192" i="32"/>
  <c r="G193" i="32"/>
  <c r="G194" i="32"/>
  <c r="G195" i="32"/>
  <c r="G196" i="32"/>
  <c r="G197" i="32"/>
  <c r="G184" i="32"/>
  <c r="G167" i="32"/>
  <c r="G168" i="32"/>
  <c r="G169" i="32"/>
  <c r="G170" i="32"/>
  <c r="G171" i="32"/>
  <c r="G172" i="32"/>
  <c r="G173" i="32"/>
  <c r="G174" i="32"/>
  <c r="G175" i="32"/>
  <c r="G176" i="32"/>
  <c r="G177" i="32"/>
  <c r="G178" i="32"/>
  <c r="G179" i="32"/>
  <c r="G180" i="32"/>
  <c r="G166" i="32"/>
  <c r="G146" i="32"/>
  <c r="G147" i="32"/>
  <c r="G148" i="32"/>
  <c r="G149" i="32"/>
  <c r="G150" i="32"/>
  <c r="G151" i="32"/>
  <c r="G152" i="32"/>
  <c r="G153" i="32"/>
  <c r="G154" i="32"/>
  <c r="G155" i="32"/>
  <c r="G156" i="32"/>
  <c r="G157" i="32"/>
  <c r="G158" i="32"/>
  <c r="G145" i="32"/>
  <c r="G128" i="32"/>
  <c r="G129" i="32"/>
  <c r="G130" i="32"/>
  <c r="G131" i="32"/>
  <c r="G132" i="32"/>
  <c r="G133" i="32"/>
  <c r="G134" i="32"/>
  <c r="G135" i="32"/>
  <c r="G136" i="32"/>
  <c r="G137" i="32"/>
  <c r="G138" i="32"/>
  <c r="G139" i="32"/>
  <c r="G140" i="32"/>
  <c r="G141" i="32"/>
  <c r="G127" i="32"/>
  <c r="G89" i="32"/>
  <c r="G90" i="32"/>
  <c r="G91" i="32"/>
  <c r="G92" i="32"/>
  <c r="G93" i="32"/>
  <c r="G94" i="32"/>
  <c r="G95" i="32"/>
  <c r="G96" i="32"/>
  <c r="G97" i="32"/>
  <c r="G98" i="32"/>
  <c r="G99" i="32"/>
  <c r="G100" i="32"/>
  <c r="G101" i="32"/>
  <c r="G102" i="32"/>
  <c r="G106" i="32"/>
  <c r="G107" i="32"/>
  <c r="G108" i="32"/>
  <c r="G109" i="32"/>
  <c r="G110" i="32"/>
  <c r="G111" i="32"/>
  <c r="G112" i="32"/>
  <c r="G113" i="32"/>
  <c r="G114" i="32"/>
  <c r="G115" i="32"/>
  <c r="G116" i="32"/>
  <c r="G117" i="32"/>
  <c r="G118" i="32"/>
  <c r="G119" i="32"/>
  <c r="G88" i="32"/>
  <c r="G68" i="32"/>
  <c r="G69" i="32"/>
  <c r="G70" i="32"/>
  <c r="G71" i="32"/>
  <c r="G72" i="32"/>
  <c r="G73" i="32"/>
  <c r="G74" i="32"/>
  <c r="G75" i="32"/>
  <c r="G76" i="32"/>
  <c r="G77" i="32"/>
  <c r="G78" i="32"/>
  <c r="G79" i="32"/>
  <c r="G80" i="32"/>
  <c r="G67" i="32"/>
  <c r="G50" i="32"/>
  <c r="G51" i="32"/>
  <c r="G52" i="32"/>
  <c r="G53" i="32"/>
  <c r="G54" i="32"/>
  <c r="G55" i="32"/>
  <c r="G56" i="32"/>
  <c r="G57" i="32"/>
  <c r="G58" i="32"/>
  <c r="G59" i="32"/>
  <c r="G60" i="32"/>
  <c r="G61" i="32"/>
  <c r="G62" i="32"/>
  <c r="G63" i="32"/>
  <c r="G49" i="32"/>
  <c r="G41" i="32"/>
  <c r="G35" i="32"/>
  <c r="G36" i="32"/>
  <c r="G37" i="32"/>
  <c r="G38" i="32"/>
  <c r="G34" i="32"/>
  <c r="G12" i="32"/>
  <c r="G13" i="32"/>
  <c r="G14" i="32"/>
  <c r="G15" i="32"/>
  <c r="G16" i="32"/>
  <c r="G17" i="32"/>
  <c r="G18" i="32"/>
  <c r="G19" i="32"/>
  <c r="G20" i="32"/>
  <c r="G21" i="32"/>
  <c r="G22" i="32"/>
  <c r="G23" i="32"/>
  <c r="G24" i="32"/>
  <c r="G25" i="32"/>
  <c r="G26" i="32"/>
  <c r="G27" i="32"/>
  <c r="G28" i="32"/>
  <c r="G29" i="32"/>
  <c r="G30" i="32"/>
  <c r="G11" i="32"/>
  <c r="G466" i="32" l="1"/>
  <c r="E480" i="32" s="1"/>
  <c r="G453" i="32"/>
  <c r="E479" i="32" s="1"/>
  <c r="G401" i="32"/>
  <c r="E478" i="32" s="1"/>
  <c r="G315" i="32"/>
  <c r="E475" i="32" s="1"/>
  <c r="G379" i="32"/>
  <c r="E477" i="32" s="1"/>
  <c r="G356" i="32"/>
  <c r="E476" i="32" s="1"/>
  <c r="G276" i="32"/>
  <c r="E474" i="32" s="1"/>
  <c r="G237" i="32"/>
  <c r="E473" i="32" s="1"/>
  <c r="G198" i="32"/>
  <c r="G159" i="32"/>
  <c r="G120" i="32"/>
  <c r="G81" i="32"/>
  <c r="G42" i="32"/>
  <c r="E470" i="32" s="1"/>
  <c r="R131" i="30"/>
  <c r="R132" i="30"/>
  <c r="R133" i="30"/>
  <c r="R134" i="30"/>
  <c r="R130" i="30"/>
  <c r="R121" i="30"/>
  <c r="R122" i="30"/>
  <c r="R123" i="30"/>
  <c r="R124" i="30"/>
  <c r="R125" i="30"/>
  <c r="R120" i="30"/>
  <c r="R118" i="30"/>
  <c r="R117" i="30"/>
  <c r="R112" i="30"/>
  <c r="R113" i="30"/>
  <c r="R114" i="30"/>
  <c r="R115" i="30"/>
  <c r="R116" i="30"/>
  <c r="R111" i="30"/>
  <c r="R99" i="30"/>
  <c r="R100" i="30"/>
  <c r="R103" i="30"/>
  <c r="R104" i="30"/>
  <c r="R105" i="30"/>
  <c r="R106" i="30"/>
  <c r="R98" i="30"/>
  <c r="R85" i="30"/>
  <c r="R89" i="30"/>
  <c r="R90" i="30"/>
  <c r="R91" i="30"/>
  <c r="R84" i="30"/>
  <c r="R80" i="30"/>
  <c r="R82" i="30"/>
  <c r="R73" i="30"/>
  <c r="R68" i="30"/>
  <c r="R61" i="30"/>
  <c r="R56" i="30"/>
  <c r="R58" i="30"/>
  <c r="R59" i="30"/>
  <c r="R60" i="30"/>
  <c r="R55" i="30"/>
  <c r="R50" i="30"/>
  <c r="R51" i="30"/>
  <c r="R52" i="30"/>
  <c r="R53" i="30"/>
  <c r="R49" i="30"/>
  <c r="R33" i="30"/>
  <c r="R34" i="30"/>
  <c r="R35" i="30"/>
  <c r="R36" i="30"/>
  <c r="R37" i="30"/>
  <c r="R38" i="30"/>
  <c r="R39" i="30"/>
  <c r="R40" i="30"/>
  <c r="R41" i="30"/>
  <c r="R42" i="30"/>
  <c r="R43" i="30"/>
  <c r="R44" i="30"/>
  <c r="R45" i="30"/>
  <c r="R46" i="30"/>
  <c r="R47" i="30"/>
  <c r="R32" i="30"/>
  <c r="R25" i="30"/>
  <c r="R15" i="30"/>
  <c r="F306" i="31"/>
  <c r="F302" i="31"/>
  <c r="F300" i="31"/>
  <c r="F298" i="31"/>
  <c r="F296" i="31"/>
  <c r="F294" i="31"/>
  <c r="F292" i="31"/>
  <c r="F290" i="31"/>
  <c r="F288" i="31"/>
  <c r="F285" i="31"/>
  <c r="F283" i="31"/>
  <c r="F282" i="31"/>
  <c r="F275" i="31"/>
  <c r="F276" i="31"/>
  <c r="F277" i="31"/>
  <c r="F278" i="31"/>
  <c r="F279" i="31"/>
  <c r="F274" i="31"/>
  <c r="F271" i="31"/>
  <c r="F249" i="31"/>
  <c r="F250" i="31"/>
  <c r="F251" i="31"/>
  <c r="F252" i="31"/>
  <c r="F253" i="31"/>
  <c r="F254" i="31"/>
  <c r="F255" i="31"/>
  <c r="F256" i="31"/>
  <c r="F257" i="31"/>
  <c r="F258" i="31"/>
  <c r="F259" i="31"/>
  <c r="F260" i="31"/>
  <c r="F261" i="31"/>
  <c r="F262" i="31"/>
  <c r="F263" i="31"/>
  <c r="F264" i="31"/>
  <c r="F265" i="31"/>
  <c r="F266" i="31"/>
  <c r="F267" i="31"/>
  <c r="F268" i="31"/>
  <c r="F248" i="31"/>
  <c r="F240" i="31"/>
  <c r="F238" i="31"/>
  <c r="F236" i="31"/>
  <c r="F234" i="31"/>
  <c r="F232" i="31"/>
  <c r="F230" i="31"/>
  <c r="F228" i="31"/>
  <c r="F226" i="31"/>
  <c r="F224" i="31"/>
  <c r="F222" i="31"/>
  <c r="F220" i="31"/>
  <c r="F218" i="31"/>
  <c r="F216" i="31"/>
  <c r="F214" i="31"/>
  <c r="F209" i="31"/>
  <c r="F207" i="31"/>
  <c r="F205" i="31"/>
  <c r="F198" i="31"/>
  <c r="F196" i="31"/>
  <c r="F194" i="31"/>
  <c r="F192" i="31"/>
  <c r="F190" i="31"/>
  <c r="F188" i="31"/>
  <c r="F186" i="31"/>
  <c r="F184" i="31"/>
  <c r="F182" i="31"/>
  <c r="F180" i="31"/>
  <c r="F178" i="31"/>
  <c r="F176" i="31"/>
  <c r="F174" i="31"/>
  <c r="F172" i="31"/>
  <c r="F170" i="31"/>
  <c r="F168" i="31"/>
  <c r="F166" i="31"/>
  <c r="F164" i="31"/>
  <c r="F162" i="31"/>
  <c r="F160" i="31"/>
  <c r="F158" i="31"/>
  <c r="F153" i="31"/>
  <c r="F150" i="31"/>
  <c r="F142" i="31"/>
  <c r="F143" i="31"/>
  <c r="F144" i="31"/>
  <c r="F145" i="31"/>
  <c r="F146" i="31"/>
  <c r="F147" i="31"/>
  <c r="F148" i="31"/>
  <c r="F141" i="31"/>
  <c r="F132" i="31"/>
  <c r="F133" i="31"/>
  <c r="F134" i="31"/>
  <c r="F135" i="31"/>
  <c r="F136" i="31"/>
  <c r="F137" i="31"/>
  <c r="F138" i="31"/>
  <c r="F112" i="31"/>
  <c r="F113" i="31"/>
  <c r="F114" i="31"/>
  <c r="F115" i="31"/>
  <c r="F116" i="31"/>
  <c r="F117" i="31"/>
  <c r="F118" i="31"/>
  <c r="F119" i="31"/>
  <c r="F111" i="31"/>
  <c r="F108" i="31"/>
  <c r="F104" i="31"/>
  <c r="F105" i="31"/>
  <c r="F106" i="31"/>
  <c r="F103" i="31"/>
  <c r="F97" i="31"/>
  <c r="F98" i="31"/>
  <c r="F99" i="31"/>
  <c r="F96" i="31"/>
  <c r="F90" i="31"/>
  <c r="F91" i="31"/>
  <c r="F92" i="31"/>
  <c r="F89" i="31"/>
  <c r="F84" i="31"/>
  <c r="F85" i="31"/>
  <c r="F83" i="31"/>
  <c r="F79" i="31"/>
  <c r="F76" i="31"/>
  <c r="F72" i="31"/>
  <c r="F73" i="31"/>
  <c r="F71" i="31"/>
  <c r="F65" i="31"/>
  <c r="F66" i="31"/>
  <c r="F67" i="31"/>
  <c r="F64" i="31"/>
  <c r="F61" i="31"/>
  <c r="F59" i="31"/>
  <c r="F57" i="31"/>
  <c r="F55" i="31"/>
  <c r="F53" i="31"/>
  <c r="F20" i="31"/>
  <c r="F18" i="31"/>
  <c r="F16" i="31"/>
  <c r="F14" i="31"/>
  <c r="F12" i="31"/>
  <c r="F51" i="31"/>
  <c r="F10" i="31"/>
  <c r="E471" i="32" l="1"/>
  <c r="E472" i="32"/>
  <c r="B315" i="33"/>
  <c r="B314" i="33"/>
  <c r="B313" i="33"/>
  <c r="B308" i="33"/>
  <c r="B318" i="33" s="1"/>
  <c r="A308" i="33"/>
  <c r="A318" i="33" s="1"/>
  <c r="F306" i="33"/>
  <c r="F303" i="33"/>
  <c r="B295" i="33"/>
  <c r="B317" i="33" s="1"/>
  <c r="A295" i="33"/>
  <c r="A317" i="33" s="1"/>
  <c r="F293" i="33"/>
  <c r="F290" i="33"/>
  <c r="F289" i="33"/>
  <c r="F288" i="33"/>
  <c r="F287" i="33"/>
  <c r="F286" i="33"/>
  <c r="F285" i="33"/>
  <c r="F284" i="33"/>
  <c r="F283" i="33"/>
  <c r="F282" i="33"/>
  <c r="F281" i="33"/>
  <c r="F278" i="33"/>
  <c r="F277" i="33"/>
  <c r="F276" i="33"/>
  <c r="F275" i="33"/>
  <c r="B266" i="33"/>
  <c r="B316" i="33" s="1"/>
  <c r="A266" i="33"/>
  <c r="A316" i="33" s="1"/>
  <c r="F264" i="33"/>
  <c r="F261" i="33"/>
  <c r="F258" i="33"/>
  <c r="F255" i="33"/>
  <c r="F252" i="33"/>
  <c r="F249" i="33"/>
  <c r="F248" i="33"/>
  <c r="B243" i="33"/>
  <c r="A243" i="33"/>
  <c r="F241" i="33"/>
  <c r="F243" i="33" s="1"/>
  <c r="F315" i="33" s="1"/>
  <c r="B236" i="33"/>
  <c r="A236" i="33"/>
  <c r="F234" i="33"/>
  <c r="F231" i="33"/>
  <c r="F228" i="33"/>
  <c r="F225" i="33"/>
  <c r="F222" i="33"/>
  <c r="F221" i="33"/>
  <c r="B216" i="33"/>
  <c r="A216" i="33"/>
  <c r="F214" i="33"/>
  <c r="F213" i="33"/>
  <c r="F210" i="33"/>
  <c r="F209" i="33"/>
  <c r="F208" i="33"/>
  <c r="F205" i="33"/>
  <c r="F202" i="33"/>
  <c r="E482" i="32" l="1"/>
  <c r="E483" i="32" s="1"/>
  <c r="E484" i="32" s="1"/>
  <c r="F308" i="33"/>
  <c r="F318" i="33" s="1"/>
  <c r="F295" i="33"/>
  <c r="F317" i="33" s="1"/>
  <c r="F266" i="33"/>
  <c r="F316" i="33" s="1"/>
  <c r="F236" i="33"/>
  <c r="F314" i="33" s="1"/>
  <c r="F216" i="33"/>
  <c r="F313" i="33" s="1"/>
  <c r="G88" i="28" l="1"/>
  <c r="F320" i="33"/>
  <c r="F321" i="33" l="1"/>
  <c r="F322" i="33" s="1"/>
  <c r="G84" i="28"/>
  <c r="F317" i="31"/>
  <c r="F316" i="31"/>
  <c r="F315" i="31"/>
  <c r="F314" i="31"/>
  <c r="F312" i="31"/>
  <c r="D125" i="31"/>
  <c r="F125" i="31" s="1"/>
  <c r="D122" i="31"/>
  <c r="D156" i="31" l="1"/>
  <c r="F156" i="31" s="1"/>
  <c r="F122" i="31"/>
  <c r="D128" i="31"/>
  <c r="F128" i="31" s="1"/>
  <c r="D131" i="31"/>
  <c r="F131" i="31" s="1"/>
  <c r="F313" i="31" l="1"/>
  <c r="F319" i="31" s="1"/>
  <c r="G86" i="28" s="1"/>
  <c r="B153" i="30"/>
  <c r="B151" i="30"/>
  <c r="C149" i="30"/>
  <c r="B149" i="30"/>
  <c r="C148" i="30"/>
  <c r="B148" i="30"/>
  <c r="B147" i="30"/>
  <c r="C145" i="30"/>
  <c r="B145" i="30"/>
  <c r="C144" i="30"/>
  <c r="B144" i="30"/>
  <c r="B143" i="30"/>
  <c r="K136" i="30"/>
  <c r="L153" i="30" s="1"/>
  <c r="K127" i="30"/>
  <c r="L151" i="30" s="1"/>
  <c r="M102" i="30"/>
  <c r="R102" i="30" s="1"/>
  <c r="M101" i="30"/>
  <c r="R101" i="30" s="1"/>
  <c r="K108" i="30" s="1"/>
  <c r="L149" i="30" s="1"/>
  <c r="R97" i="30"/>
  <c r="M87" i="30"/>
  <c r="R87" i="30" s="1"/>
  <c r="M86" i="30"/>
  <c r="M79" i="30"/>
  <c r="R79" i="30" s="1"/>
  <c r="M78" i="30"/>
  <c r="R78" i="30" s="1"/>
  <c r="M77" i="30"/>
  <c r="R77" i="30" s="1"/>
  <c r="R76" i="30"/>
  <c r="M75" i="30"/>
  <c r="R75" i="30" s="1"/>
  <c r="R74" i="30"/>
  <c r="R72" i="30"/>
  <c r="M71" i="30"/>
  <c r="R71" i="30" s="1"/>
  <c r="M70" i="30"/>
  <c r="R70" i="30" s="1"/>
  <c r="R69" i="30"/>
  <c r="M57" i="30"/>
  <c r="R57" i="30" s="1"/>
  <c r="K63" i="30" s="1"/>
  <c r="L145" i="30" s="1"/>
  <c r="R54" i="30"/>
  <c r="R48" i="30"/>
  <c r="R31" i="30"/>
  <c r="M23" i="30"/>
  <c r="R23" i="30" s="1"/>
  <c r="M22" i="30"/>
  <c r="R22" i="30" s="1"/>
  <c r="M21" i="30"/>
  <c r="R21" i="30" s="1"/>
  <c r="M20" i="30"/>
  <c r="R20" i="30" s="1"/>
  <c r="M18" i="30"/>
  <c r="R18" i="30" s="1"/>
  <c r="M17" i="30"/>
  <c r="M81" i="30" l="1"/>
  <c r="R81" i="30" s="1"/>
  <c r="M88" i="30"/>
  <c r="R88" i="30" s="1"/>
  <c r="R86" i="30"/>
  <c r="M24" i="30"/>
  <c r="R24" i="30" s="1"/>
  <c r="R17" i="30"/>
  <c r="F320" i="31"/>
  <c r="F321" i="31" s="1"/>
  <c r="K27" i="30" l="1"/>
  <c r="L144" i="30" s="1"/>
  <c r="K93" i="30"/>
  <c r="L148" i="30" s="1"/>
  <c r="G1523" i="28"/>
  <c r="G1522" i="28"/>
  <c r="G1820" i="28"/>
  <c r="G1822" i="28" s="1"/>
  <c r="G318" i="28"/>
  <c r="G321" i="28"/>
  <c r="G324" i="28"/>
  <c r="G327" i="28"/>
  <c r="G330" i="28"/>
  <c r="G333" i="28"/>
  <c r="G336" i="28"/>
  <c r="G337" i="28"/>
  <c r="G338" i="28"/>
  <c r="G339" i="28"/>
  <c r="G342" i="28"/>
  <c r="G343" i="28"/>
  <c r="G346" i="28"/>
  <c r="G347" i="28"/>
  <c r="G348" i="28"/>
  <c r="G349" i="28"/>
  <c r="G359" i="28"/>
  <c r="G362" i="28"/>
  <c r="G365" i="28"/>
  <c r="G368" i="28"/>
  <c r="G371" i="28"/>
  <c r="G374" i="28"/>
  <c r="G377" i="28"/>
  <c r="G531" i="28"/>
  <c r="G535" i="28"/>
  <c r="G538" i="28"/>
  <c r="G542" i="28"/>
  <c r="G546" i="28"/>
  <c r="G549" i="28"/>
  <c r="G552" i="28"/>
  <c r="G553" i="28"/>
  <c r="G554" i="28"/>
  <c r="G555" i="28"/>
  <c r="G558" i="28"/>
  <c r="G561" i="28"/>
  <c r="G564" i="28"/>
  <c r="G567" i="28"/>
  <c r="G570" i="28"/>
  <c r="G573" i="28"/>
  <c r="G575" i="28"/>
  <c r="G579" i="28"/>
  <c r="G582" i="28"/>
  <c r="G585" i="28"/>
  <c r="G589" i="28"/>
  <c r="G590" i="28"/>
  <c r="G593" i="28"/>
  <c r="G596" i="28"/>
  <c r="G599" i="28"/>
  <c r="G604" i="28"/>
  <c r="G622" i="28"/>
  <c r="G625" i="28" s="1"/>
  <c r="G162" i="28" s="1"/>
  <c r="G704" i="28"/>
  <c r="G708" i="28"/>
  <c r="G712" i="28"/>
  <c r="G715" i="28"/>
  <c r="G718" i="28"/>
  <c r="G721" i="28"/>
  <c r="G724" i="28"/>
  <c r="G728" i="28"/>
  <c r="G731" i="28"/>
  <c r="G735" i="28"/>
  <c r="G736" i="28"/>
  <c r="G739" i="28"/>
  <c r="G743" i="28"/>
  <c r="G748" i="28"/>
  <c r="G848" i="28"/>
  <c r="G849" i="28"/>
  <c r="G850" i="28"/>
  <c r="G851" i="28"/>
  <c r="G856" i="28"/>
  <c r="G857" i="28"/>
  <c r="G864" i="28"/>
  <c r="G870" i="28"/>
  <c r="G875" i="28"/>
  <c r="G881" i="28"/>
  <c r="G942" i="28"/>
  <c r="G948" i="28"/>
  <c r="G1094" i="28"/>
  <c r="G1100" i="28"/>
  <c r="G1101" i="28"/>
  <c r="G1115" i="28"/>
  <c r="G1120" i="28"/>
  <c r="G1130" i="28"/>
  <c r="G1131" i="28"/>
  <c r="G1132" i="28"/>
  <c r="G1133" i="28"/>
  <c r="G1134" i="28"/>
  <c r="G1135" i="28"/>
  <c r="G1136" i="28"/>
  <c r="G1137" i="28"/>
  <c r="G1138" i="28"/>
  <c r="G1139" i="28"/>
  <c r="G1145" i="28"/>
  <c r="G1148" i="28"/>
  <c r="G1149" i="28"/>
  <c r="G1150" i="28"/>
  <c r="G1151" i="28"/>
  <c r="G1172" i="28"/>
  <c r="G1173" i="28"/>
  <c r="G1174" i="28"/>
  <c r="G1175" i="28"/>
  <c r="G1177" i="28"/>
  <c r="G1180" i="28"/>
  <c r="G1181" i="28"/>
  <c r="G1182" i="28"/>
  <c r="G1184" i="28"/>
  <c r="G1186" i="28"/>
  <c r="G1188" i="28"/>
  <c r="G1190" i="28"/>
  <c r="G1192" i="28"/>
  <c r="G1194" i="28"/>
  <c r="G1196" i="28"/>
  <c r="G1239" i="28"/>
  <c r="G1253" i="28"/>
  <c r="G1256" i="28"/>
  <c r="G1261" i="28"/>
  <c r="G1308" i="28"/>
  <c r="G1311" i="28"/>
  <c r="G1314" i="28"/>
  <c r="G1316" i="28"/>
  <c r="G1419" i="28"/>
  <c r="G1420" i="28"/>
  <c r="G1421" i="28"/>
  <c r="G1422" i="28"/>
  <c r="G1423" i="28"/>
  <c r="G1424" i="28"/>
  <c r="G1425" i="28"/>
  <c r="G1428" i="28"/>
  <c r="G1468" i="28"/>
  <c r="G1469" i="28"/>
  <c r="G1470" i="28"/>
  <c r="G1471" i="28"/>
  <c r="G1472" i="28"/>
  <c r="G1473" i="28"/>
  <c r="G1474" i="28"/>
  <c r="G1476" i="28"/>
  <c r="G1475" i="28"/>
  <c r="G1477" i="28"/>
  <c r="G1478" i="28"/>
  <c r="G1479" i="28"/>
  <c r="G1480" i="28"/>
  <c r="G1481" i="28"/>
  <c r="G1482" i="28"/>
  <c r="G1483" i="28"/>
  <c r="G1484" i="28"/>
  <c r="G1485" i="28"/>
  <c r="G1486" i="28"/>
  <c r="G1487" i="28"/>
  <c r="G1490" i="28"/>
  <c r="G1493" i="28"/>
  <c r="G1494" i="28"/>
  <c r="G1497" i="28"/>
  <c r="G1498" i="28"/>
  <c r="G1499" i="28"/>
  <c r="G1500" i="28"/>
  <c r="G1501" i="28"/>
  <c r="G1502" i="28"/>
  <c r="G1503" i="28"/>
  <c r="G1504" i="28"/>
  <c r="G1505" i="28"/>
  <c r="G1509" i="28"/>
  <c r="G1514" i="28"/>
  <c r="G1515" i="28"/>
  <c r="G1516" i="28"/>
  <c r="G1517" i="28"/>
  <c r="G1518" i="28"/>
  <c r="G1519" i="28"/>
  <c r="G1613" i="28"/>
  <c r="G1616" i="28"/>
  <c r="G1650" i="28"/>
  <c r="G1655" i="28"/>
  <c r="G1656" i="28"/>
  <c r="G1661" i="28"/>
  <c r="G1667" i="28"/>
  <c r="G1691" i="28"/>
  <c r="G1692" i="28"/>
  <c r="G1697" i="28"/>
  <c r="G1698" i="28"/>
  <c r="G1740" i="28"/>
  <c r="G1741" i="28"/>
  <c r="G1756" i="28"/>
  <c r="G1758" i="28" s="1"/>
  <c r="G185" i="28" s="1"/>
  <c r="G1764" i="28"/>
  <c r="G1767" i="28"/>
  <c r="G1770" i="28"/>
  <c r="G1775" i="28"/>
  <c r="G1779" i="28"/>
  <c r="G1789" i="28"/>
  <c r="G1792" i="28" s="1"/>
  <c r="G187" i="28" s="1"/>
  <c r="G1798" i="28"/>
  <c r="G1801" i="28"/>
  <c r="G1808" i="28"/>
  <c r="G1812" i="28"/>
  <c r="G1813" i="28"/>
  <c r="G1811" i="28"/>
  <c r="K157" i="30" l="1"/>
  <c r="G90" i="28" s="1"/>
  <c r="G1622" i="28"/>
  <c r="G176" i="28" s="1"/>
  <c r="G190" i="28"/>
  <c r="G1816" i="28"/>
  <c r="G189" i="28" s="1"/>
  <c r="G1803" i="28"/>
  <c r="G188" i="28" s="1"/>
  <c r="G1782" i="28"/>
  <c r="G186" i="28" s="1"/>
  <c r="G1264" i="28"/>
  <c r="G167" i="28" s="1"/>
  <c r="G1526" i="28"/>
  <c r="G175" i="28" s="1"/>
  <c r="G1431" i="28"/>
  <c r="G174" i="28" s="1"/>
  <c r="G1701" i="28"/>
  <c r="G178" i="28" s="1"/>
  <c r="G1199" i="28"/>
  <c r="G166" i="28" s="1"/>
  <c r="G352" i="28"/>
  <c r="G159" i="28" s="1"/>
  <c r="G1319" i="28"/>
  <c r="G173" i="28" s="1"/>
  <c r="G953" i="28"/>
  <c r="G165" i="28" s="1"/>
  <c r="G751" i="28"/>
  <c r="G163" i="28" s="1"/>
  <c r="G384" i="28"/>
  <c r="G160" i="28" s="1"/>
  <c r="G1744" i="28"/>
  <c r="G179" i="28" s="1"/>
  <c r="G1670" i="28"/>
  <c r="G177" i="28" s="1"/>
  <c r="G886" i="28"/>
  <c r="G164" i="28" s="1"/>
  <c r="G607" i="28"/>
  <c r="G161" i="28" s="1"/>
  <c r="K159" i="30" l="1"/>
  <c r="K163" i="30" s="1"/>
  <c r="G192" i="28"/>
  <c r="G169" i="28"/>
  <c r="G1825" i="28"/>
  <c r="G181" i="28"/>
  <c r="G1747" i="28"/>
  <c r="G1267" i="28"/>
  <c r="G194" i="28" l="1"/>
  <c r="G82" i="28" s="1"/>
  <c r="G93" i="28" s="1"/>
  <c r="G95" i="28" s="1"/>
  <c r="G97" i="28" s="1"/>
</calcChain>
</file>

<file path=xl/sharedStrings.xml><?xml version="1.0" encoding="utf-8"?>
<sst xmlns="http://schemas.openxmlformats.org/spreadsheetml/2006/main" count="3675" uniqueCount="2123">
  <si>
    <t>GRAĐEVINA:</t>
  </si>
  <si>
    <t>TROŠKOVNIK</t>
  </si>
  <si>
    <t>m2</t>
  </si>
  <si>
    <t>INVESTITOR:</t>
  </si>
  <si>
    <t>LOKACIJA:</t>
  </si>
  <si>
    <t>ZOP:</t>
  </si>
  <si>
    <t>A</t>
  </si>
  <si>
    <t>GRAĐEVINSKI RADOVI</t>
  </si>
  <si>
    <t>ZEMLJANI RADOVI</t>
  </si>
  <si>
    <t>• rušenje drveća, uklanjanje raslinja, panjeva i korjenja</t>
  </si>
  <si>
    <t>m3</t>
  </si>
  <si>
    <t xml:space="preserve"> </t>
  </si>
  <si>
    <t>BETONSKI I ARMIRANO-BETONSKI RADOVI</t>
  </si>
  <si>
    <t>ARMIRANO BETONSKI ZIDOVI</t>
  </si>
  <si>
    <t>PLOČE</t>
  </si>
  <si>
    <t>TESARSKI RADOVI</t>
  </si>
  <si>
    <t>SKELE</t>
  </si>
  <si>
    <t>OPLATA  PLOČA</t>
  </si>
  <si>
    <t xml:space="preserve">OPLATA ZIDOVA </t>
  </si>
  <si>
    <t xml:space="preserve"> STUPOVI i GREDE</t>
  </si>
  <si>
    <t>OPLATA STUPOVA i GREDA</t>
  </si>
  <si>
    <t>ARMIRAČKI RADOVI</t>
  </si>
  <si>
    <t>tona</t>
  </si>
  <si>
    <t>m1</t>
  </si>
  <si>
    <t>kom</t>
  </si>
  <si>
    <t>PREGRADNI ZIDOVI</t>
  </si>
  <si>
    <t xml:space="preserve"> HIDROIZOLACIJSKI  RADOVI</t>
  </si>
  <si>
    <t>PODZEMNE HIDROIZOLACIJE</t>
  </si>
  <si>
    <t>KROVOVI</t>
  </si>
  <si>
    <t>Membrana mora zadovoljavati klasu gorivosti materijala B krov (t1) prema EN 13501-1.</t>
  </si>
  <si>
    <t>UNUTARNJE HIDROIZOLACIJE</t>
  </si>
  <si>
    <t xml:space="preserve">NAPOMENA!  </t>
  </si>
  <si>
    <t>CEMENTNI ESTRIH</t>
  </si>
  <si>
    <t>TOPLINSKE PODNE IZOLACIJE, UNUTARNJE</t>
  </si>
  <si>
    <t>ZIDARSKI RADOVI I TOPLINSKE IZOLACIJE</t>
  </si>
  <si>
    <t>Dobava i ugradnja ispune dilatacije (vertikalne i horizontalne) arm. bet zidova i ploča. Izvesti toplinsko izolacijskim pločama EPS 150, zadane debljine.</t>
  </si>
  <si>
    <t>DOBAVE I UGRADNJE</t>
  </si>
  <si>
    <t>• vel. 400/200/1.6 cm</t>
  </si>
  <si>
    <t xml:space="preserve">Dobava i ugradnja podnog otirača na otvorenom, vanjski ili natkriveni trijem. Otirač za visoke prometne uvjete, vinilne omčaste strukture bez poleđine, zadane veličine. Ugradnja u podno udubljenje, uključivo okvir od inox čel. "L" profila. </t>
  </si>
  <si>
    <t>• za ravni krov</t>
  </si>
  <si>
    <t>• strojno čišćenje terena od raznih materijala i sitnog raslinja, te priprema za iskolčenje</t>
  </si>
  <si>
    <t>• iskolčavanje u odnosu prema izvornim točkama, linijama i razinama podataka koje su dane u projektu</t>
  </si>
  <si>
    <t>• osigurati pogodan prilaz do objekta i mjere sigurnosti u tijeku radova na objektu</t>
  </si>
  <si>
    <t xml:space="preserve">• zaštitna ograda </t>
  </si>
  <si>
    <t>• obilazak i pregled lokacije</t>
  </si>
  <si>
    <t>PRIPREMNI RADOVI</t>
  </si>
  <si>
    <t>Napomena:</t>
  </si>
  <si>
    <t>~ za objekt</t>
  </si>
  <si>
    <t>• za objekt</t>
  </si>
  <si>
    <t>~ za ravni masivni neprohodni krov</t>
  </si>
  <si>
    <t>~ za ravni neprohodni masivni krov</t>
  </si>
  <si>
    <t>BETONSKE PODLOGE</t>
  </si>
  <si>
    <t>OPLATA TEMELJNE PLOČE</t>
  </si>
  <si>
    <t>TEMELJNE PLOČE</t>
  </si>
  <si>
    <t>PODOPOLAGAČKI RADOVI</t>
  </si>
  <si>
    <t>ZIDOVI</t>
  </si>
  <si>
    <t>Pločice se postavljaju  prema projektu tj. detaljnom nacrtu polaganja keramike.</t>
  </si>
  <si>
    <t>KERAMIČARSKI RADOVI</t>
  </si>
  <si>
    <t>PDV 25 %</t>
  </si>
  <si>
    <t>UKUPNO GRAĐEVINSKI RADOVI</t>
  </si>
  <si>
    <t>OBRTNIČKI RADOVI</t>
  </si>
  <si>
    <t>HIDROIZOLACIJE</t>
  </si>
  <si>
    <t xml:space="preserve">GIPSKARTONSKI RADOVI </t>
  </si>
  <si>
    <t>UKUPNO OBRTNIČKI RADOVI</t>
  </si>
  <si>
    <t>STOLARSKI RADOVI</t>
  </si>
  <si>
    <t>BRAVARSKI RADOVI</t>
  </si>
  <si>
    <t>SOBOSLIKARSKO-LIČILAČKI RADOVI</t>
  </si>
  <si>
    <t>KROVOPOKRIVAČKI, LIMARSKI RADOVI</t>
  </si>
  <si>
    <t>SVEUKUPNO GRAĐEVINSKI I OBRTNIČKI RADOVI</t>
  </si>
  <si>
    <t>TROŠKOVNIK ELEKTROINSTALACIJA</t>
  </si>
  <si>
    <t xml:space="preserve">PREGRADNI ZIDOVI </t>
  </si>
  <si>
    <t>KROVOPOKRIVAČKI  I LIMARSKI RADOVI</t>
  </si>
  <si>
    <t>B</t>
  </si>
  <si>
    <t>• mort za ljepljenje ploča nanesti na rubove ploča i točkasto u sredini (pokrivenost ljepilom min 40% površine ploče)</t>
  </si>
  <si>
    <t>• ploče se nakon stvrdnjavanja ljepila (nakon 3 dana) dodatno učvršćuju pričvrsnicama od poliamida s plastičnom jezgrom. Ugradnja 6-8 kom /m2 po sistemu slova "W" uz min. razmak 5 cm od ruba ploče</t>
  </si>
  <si>
    <t>• na sve kuteve objekta, kao i sve kuteve oko špaleta otvora postavljaju kutni profili s armaturnom mrežicom. Oko svakog otvora dodatno se postavljaju manje trake armaturne mrežice po dijagonali veličine oko 20x40 cm.</t>
  </si>
  <si>
    <t xml:space="preserve">• prednamaz za grundiranje podloge prije završne obrade </t>
  </si>
  <si>
    <t>• mort / ljepilo za ljepljenje ploča se ručno nanosi nazubljenim gleterom (zub od najmanje 10 mm) na toplinsko-izolacijski materijal metodom potpunog pokrivnog nanošenja. Prema ETAG-u 004, čvrstoća prionjivosti između morta za lijepljenje i podloge ne smije biti niža od 80 kPa (srednja vrijednost).</t>
  </si>
  <si>
    <t xml:space="preserve">• ploče XPS-a vel. 100/50 cm, zadane debljine, ugraditi horizontalno s pomakom ploča na pola, i vezom na "češalj" na uglovima. Reške moraju biti tijesno sljubljene, eventualno ispunjene (nikaka ljepilom). </t>
  </si>
  <si>
    <t xml:space="preserve">• na sve kuteve objekta postavljaju se kutni profili s armaturnom mrežicom. </t>
  </si>
  <si>
    <t>Prije radioničke izrade stolarskih elemenata izvoditelj radova mora, prema shemama iz tehničke dokumentacije, izraditi radioničke nacrte i ugradbene detalje, te na njih dobiti suglasnost projektanta.</t>
  </si>
  <si>
    <t xml:space="preserve">Ponuđena cijena uključuje kompletno izrađenu i ugrađenu stavku s okovom, ostakljenjem i termolakiranjem. </t>
  </si>
  <si>
    <t>UNUTARNJA STOLARIJA</t>
  </si>
  <si>
    <t>~ polistiren EPS, deb. 5cm</t>
  </si>
  <si>
    <t xml:space="preserve"> ISKAZANA KOLIČINA ARMATURE JE APROKSIMATIVNA.</t>
  </si>
  <si>
    <t>KONAČNA KOLIČINA BIT ĆE ISKAZANA U ARMATURNIM NACRTIMA.</t>
  </si>
  <si>
    <t>~ obračun po razvijenoj površini fasade</t>
  </si>
  <si>
    <t>• pripremu podloge</t>
  </si>
  <si>
    <t>• popravljanje disperzivnim kitom manjih oštećenja</t>
  </si>
  <si>
    <t>• premaz impregnacijom (koncentrat impregnacija: voda = 1:3) jednoslojno, ili temeljni premaz za gipskartonske podloge, sušenje 5 sati</t>
  </si>
  <si>
    <t>Napomena</t>
  </si>
  <si>
    <t>Potrebno utvrditi kvalitetu tla za potrebna nasipavanja ili za planirane zelene površine prije ugradnje.</t>
  </si>
  <si>
    <t>U svemu izvesti prema preporukama isporučitelja sustava. Sve komponente sustava moraju se ugraditi od istog proizvođača ili isporučitelja.</t>
  </si>
  <si>
    <t>~ za pod</t>
  </si>
  <si>
    <t>PODOVI</t>
  </si>
  <si>
    <t>SOBOSLIKARSKO LIČILAČKI RADOVI</t>
  </si>
  <si>
    <t>Izvodi se u suterenu na ab. zidovima gospodarskih prostora i u priz. na zidovima plinske kotlovnice, na stropovima gospodarsva, strojarnice i pratečih prostora i na podgledima stubišnih krakova I polupodesta.</t>
  </si>
  <si>
    <t>Prije izrade stavaka, kao i ustakljenja, obvezno provjeriti sve mjere i količine u naravi.</t>
  </si>
  <si>
    <t>•  beton C 25/30</t>
  </si>
  <si>
    <t>Sve stijene kabina odignute od poda inox nogicama vis. 15 cm s mogučnošću regulacije visine i s ukrasnim inox rozetama. Vratna krila s tri spojnice u inox izvedbu s integriranom oprugom, s leptir bravom i kuglom s oznakom položaja slobodno - zauzeto i mogućnošću sigurnosnog otvaranja izvana. Fiksiranje svih alu profila i sva ostala učvršćenja u izvedbi inox vijcima.</t>
  </si>
  <si>
    <t>UKUPNO ZEMLJANI RADOVI:</t>
  </si>
  <si>
    <t>UKUPNO BET. I ARM. BETONSKI RADOVI:</t>
  </si>
  <si>
    <t>UKUPNO ARMIRAČKI RADOVI:</t>
  </si>
  <si>
    <t>UKUPNO HIDROIZOLACIJSKI RADOVI:</t>
  </si>
  <si>
    <t>UKUPNO GIPSKARTONSKI RADOVI:</t>
  </si>
  <si>
    <t>UKUPNO ZIDARSKI RADOVI, TOPLINSKE IZOLACIJE I DOBAVE I UGRADNJE:</t>
  </si>
  <si>
    <t>UKUPNO KROVOPOKRIVAČKI I LIMARSKI RADOVI:</t>
  </si>
  <si>
    <t>UKUPNO STOLARSKI RADOVI:</t>
  </si>
  <si>
    <t>UKUPNO ALUMINIJSKA BRAVARIJA:</t>
  </si>
  <si>
    <t>UKUPNO BRAVARSKI RADOVI:</t>
  </si>
  <si>
    <t>UKUPNO KERAMIČARSKI RADOVI:</t>
  </si>
  <si>
    <t>UKUPNO PODOPOLAGAČKI RADOVI:</t>
  </si>
  <si>
    <t>UKUPNO LIČILAČKI RADOVI:</t>
  </si>
  <si>
    <t xml:space="preserve">Dobava i ugradnja zidnih fasadnih, podnih vanjskih   ili unutarnjih pokrovnih  profila za dilatacione reške. Profili al. izvedbe za zadanu šir. dilatacije i zadano opterećenje.   </t>
  </si>
  <si>
    <t>ZIDARSKI RADOVI, TOPLINSKE IZOLACIJE I DOBAVE I UGRADNJA</t>
  </si>
  <si>
    <t>podne konstrukcije - slojevi, toplinske izolacije (unutarnje i vanjske) i dobave i ugradnje</t>
  </si>
  <si>
    <t>Obaveza izvođača izraditi proračun elemenata, potkonstrukcije i detalje ugradnje u suradnji s proizvođačem, a prema zahtjevima projekta. Konstrukcija ograde mora zadovoljiti uvjet;
"karakteristična horizontalna sila u visini rukohvata ograde od min. 1 kN/m´.</t>
  </si>
  <si>
    <t>A.1.</t>
  </si>
  <si>
    <t>A.2.</t>
  </si>
  <si>
    <t>A.3.</t>
  </si>
  <si>
    <t>A.4.</t>
  </si>
  <si>
    <t>A.6.</t>
  </si>
  <si>
    <t>A.7.</t>
  </si>
  <si>
    <t>A.8.</t>
  </si>
  <si>
    <t>A.9.</t>
  </si>
  <si>
    <t>B.1.</t>
  </si>
  <si>
    <t>B.2.</t>
  </si>
  <si>
    <t>B.3.</t>
  </si>
  <si>
    <t>B.4.</t>
  </si>
  <si>
    <t>B.5.</t>
  </si>
  <si>
    <t>B.6.</t>
  </si>
  <si>
    <t>B.7.</t>
  </si>
  <si>
    <t>Sve prema izrađenom planu uređenja radilišta s potrebnim suglasnostima i dozvolama.</t>
  </si>
  <si>
    <t>br. sta.</t>
  </si>
  <si>
    <t>opis stavke</t>
  </si>
  <si>
    <t>količina</t>
  </si>
  <si>
    <t>jed.cijena</t>
  </si>
  <si>
    <t>ukupno</t>
  </si>
  <si>
    <t>kg</t>
  </si>
  <si>
    <t>17.</t>
  </si>
  <si>
    <t>-</t>
  </si>
  <si>
    <t>jed. mj.</t>
  </si>
  <si>
    <t>C</t>
  </si>
  <si>
    <t>UKUPNO PRIPREMNI RADOVI:</t>
  </si>
  <si>
    <t>01</t>
  </si>
  <si>
    <t>02</t>
  </si>
  <si>
    <t>03</t>
  </si>
  <si>
    <t>04</t>
  </si>
  <si>
    <t>05</t>
  </si>
  <si>
    <t xml:space="preserve">
</t>
  </si>
  <si>
    <t>OPĆI UVJETI</t>
  </si>
  <si>
    <t>Izvoditelj preuzima punu odgovornost za točnost, stabilnost i sigurnost svih operacija i načina gradnje.  Izvoditelj će otkloniti sve nedostatke koje ustanovi Investitor a prema opsegu radova predviđenih ugovorom i ovim uvjetima.Ovo pod uvjetom da izvoditelj neće biti odgovoran za nacrte ili specifikaciju trajnih ili privremenih radova koje nije primio a nije bio u obvezi da ih sam izradi u skladu s ovim uvjetima i ugovorom.</t>
  </si>
  <si>
    <r>
      <rPr>
        <sz val="10"/>
        <rFont val="Calibri"/>
        <family val="2"/>
        <charset val="238"/>
      </rPr>
      <t>•</t>
    </r>
    <r>
      <rPr>
        <sz val="10"/>
        <rFont val="Arial"/>
        <family val="2"/>
        <charset val="238"/>
      </rPr>
      <t xml:space="preserve"> oblika i prirode radilišta, uključujući uvjete ispod površine</t>
    </r>
  </si>
  <si>
    <t>• mikroklimatskih uvjeta</t>
  </si>
  <si>
    <t>• količine i prirode posla i materijala potrebnih za izvođenje i završetak radova te otklanjanje nedostataka</t>
  </si>
  <si>
    <t>• načina pristupa radilištu i prostora koji bi mu mogao biti potreban</t>
  </si>
  <si>
    <t xml:space="preserve">Smatrat će se da je dobio sve potrebne informacije, pod uvjetom kako je gore navedeno, u pogledu rizika, nepredviđenih izdataka i svih drugih okolnosti koje mogu imati utjecaja ili djelovati na njegovu ponudu ili izvođenje. </t>
  </si>
  <si>
    <t>Investitor će imenovati Nadzornog inženjera čije su ovlasti u skladu s važečim zakonom. Njegovo je pravo i narediti obustavu daljnjeg izvođenja radova ili tražiti rušenje pojedinih dijelova građevine ako se radovi ne izvode u skladu sa odobrenom dokumentacijom, tehničkim propisima ili standardima. Obustavu radova upisuje u građevinski dnevnik.</t>
  </si>
  <si>
    <t>Izvoditelj je dužan o svom trošku izvesti ili provoditi:</t>
  </si>
  <si>
    <r>
      <rPr>
        <sz val="10"/>
        <rFont val="Calibri"/>
        <family val="2"/>
        <charset val="238"/>
      </rPr>
      <t>•</t>
    </r>
    <r>
      <rPr>
        <sz val="10"/>
        <rFont val="Arial"/>
        <family val="2"/>
        <charset val="238"/>
      </rPr>
      <t xml:space="preserve"> osigurati prometnu signalizaciju prema uvjetima koje će propisati odgovarajuća gradska služba</t>
    </r>
  </si>
  <si>
    <t>• čišćenje vozila (kotača) pranjem, pri iskopima i uvijek ako za to postoji potreba, uključivo i čišćenje kolnika i nogostupa</t>
  </si>
  <si>
    <t>• podmirivanje komunalnih troškova (privremene priključke i potrošnju vode, električne energije i sl.)</t>
  </si>
  <si>
    <t xml:space="preserve">Izvoditelj mora izvesti pripremne radove za neometano izvođenje ugovorenih radova bez posebne naplate te mora osigurati pogodan prilaz do objekta i mjere sigurnosti u tijeku radova na objektu.
Izvoditelj je dužan osigurati i angažirati kvalificirane djelatnike u dovoljnom broju za realizaciju radova, čije iskustvo i stručna kvalifikacija treba odgovarati opsegu, dinamici i ostalim specifičnostima radova a prema potrebi i sa radnicima koji posjeduju sposobnost obavljanja poslova u posebnim uvjetima rada a u skladu s važećim Pravilnikom o poslovima s posebnim uvjetima rada (npr. rad na velikim visinama, rad sa strojevima i sl.).
</t>
  </si>
  <si>
    <t>Nadzorni inženjer može tražiti od izvoditelja da smjesta povuče s radilišta bilo koju osobu koju je izvoditelj zaposlio, a koja je nestručna ili nemarna u izvršavanju svojih dužnosti ili ugrožava izvođenje radova i sigurnost drugih sudionika, i takva osoba neće biti ponovno zaposlena na radovima bez pristanka nadzornog inženjera</t>
  </si>
  <si>
    <t xml:space="preserve">Izvoditelj je odgovoran za točno iskolčavanje u odnosu prema izvornim točkama, linijama i razinama podataka koje su dane u projektu.
Ako se u toku izvođenja radova pojavi bilo kakva greška u položaju, razini, dimenzijama ili povezivanju bilo kojeg dijela radova, izvoditelj će, kad to zahtijeva nadzorni inženjer, na vlastiti trošak ispraviti takvu grešku.
Provjera svih iskolčavanja ili bilo koje linije ili razine od strane nadzornog inženjera neće ni na koji način osloboditi izvoditelja njegove odgovornosti za njihovu ispravnost i izvoditelj će pažljivo zaštititi i sačuvati sve stalne točke (repere), građevinske profile, klinove i druge stvari koje se koriste za iskolčavanje, nanošenje i prenošenje osi i visina.
</t>
  </si>
  <si>
    <t>Za određene vrste radova projektant Investitora odabire uzorke u skladu s traženom kvalitetom i tonom a na osnovu prezentiranih uzoraka koje im osigurava izvoditelj tokom nuđenja i to u više primjeraka.</t>
  </si>
  <si>
    <t>Sav materijal i oprema koja će se upotrijebiti na objektu mora biti uskladištena, složena i zaštićena te držana u urednom i dobrom stanju. Potraživanja na ime oštećenja i rastura materijala neće se priznati izvoditelju. Sav suvišni materijal, oprema i alat koji nije više u upotrebi, kao i skele, oplata itd. moraju biti uredno složeni, tako da ne ometaju napredak preostalih radova, ili uklonjeni sa gradilišta. Ukoliko se postojeće prostorije ili djelomično dovršeni prostori građevine koriste za privremeno skladište mateirjala, izvoditelj je odgovoran da uskladišteni materijali ne ometaju pravovfemeno izvođenje preostalih radova, niti inspekciju odnosno kontrolu izvedenih radova. Izvoditelj je također odgovoran da težina uskladištenog materijala ne prekorači računato dozvoljeno opterećenje konstrukcije.</t>
  </si>
  <si>
    <t xml:space="preserve">Obveza izvoditelja je izrada operativnih planova izvođenja radova. Izvoditelj je obvezan izraditi operativni plan izvođenja radova sa danom utvrđenim početka i završetka radova, te na osnovu njega izrađivati mjesečne, tjedne i dnevne planove izvođenja radova i dopreme materijala i opreme. Izvoditelj je obvezan svoje planove uskladiti i usklađivati sa ostalim izvoditeljima na gradilištu. Izvoditelji su dužni pridržavati se rokova i međurokova iz operativnog plana izvođenja.
Ukoliko tokom rada dođe do odstupanja u odnosu na operativni plan izvođenja radova, a ta odstupanja dovode u pitanje ispunjenje ugovornih rokova, Investitor će pismeno obavijestiti Izvoditelja i zatražiti u primjernom roku usklađivanje radova s operativnim planom. Ako izvoditelj ne udovolji zahtjevu investitora, investitor može dio ugovorenog posla čiji je rok dovršenja u pitanju, povjeriti drugoj osobi na teret izvoditelja, a izvoditelj je dužan omogućiti nesmetano izvođenje tih radova.
</t>
  </si>
  <si>
    <t>Ukoliko, radi nepoštivanja međurokova iz operativnog plana, nastane šteta trećima ili Investitoru, naknada štete izvršit će se ustegom iznosa štete a na temelju bezpogovornog nalaza nadzornog inženjera. Naknada štete nastale iz drugih razloga izvršit će se na isti način.</t>
  </si>
  <si>
    <t>Ako u građenju sudjeluju dva ili više izvoditelja, investitor će imenovati izvoditelja odgovornog za međusobno usklađivanje radova (glavni izvoditelj).</t>
  </si>
  <si>
    <t>Izvoditelj je na gradilištu dužan voditi građevinski dnevnik za sve građevine za koje je, prema odredbama Zakona o gradnji propisan stručni nadzor i to u skladu s Pravilnikom o uvjetima, načinu i obrascu vođenja građevinskog dnevnika. Ako u građenju sudjeluju dva ili više izvoditelja, građevinski dnevnik vodi izvoditelj odgovoran za međusobno usklađivanje radova. Svaki izvoditelj obvezno vodi građevinski dnevnik za svoje radilište.</t>
  </si>
  <si>
    <t xml:space="preserve">Ukoliko opis u troškovniku, tehnička dokumentacija ili stanje na licu mjesta dovodi izvoditelja u sumnju o načinu izvedbe pojedinog rada potrebno je zatražiti objašnjenje od nadzornog inženjera jer se neće odobriti niti priznati nikakvo odstupanje od projekta bez suglasnosti nadzornog inženjera.
Izvoditelj i izvoditelj odgovoran za međusobno usklađivanje radova, tijekom gradnje, vode građevinske dnevnike u originalu i jednoj kopiji u koje se registriraju dnevno sve činjenice tijekom radova, opisom i skicama a sve u skladu s Pravilnikom o uvjetima, načinu i obrascu vođenja građevinskog dnevnika.
Izvoditelj je dužan imenovati voditelja građenja ili voditelja pojedinih radova, a u skladu s Zakonom prije početka radova i o tome pismeno obavijestiti Investitora.
</t>
  </si>
  <si>
    <t xml:space="preserve">U slučaju da su potrebni određeni radovi koji nisu mogli biti predviđeni troškovnikom i nacrtima izvođač je dužan tražiti odobrenje za te radove kao i način izvedbe od nadzornog organa.
Izvoditelj je dužan izvesti sve potrebne radove za kompletno dovršenje građevine uključivo i one radove koji eventualno nisu obuhvaćeni troškovnicima a pokažu se potrebni tokom izvođenja radova da bi se postigli planirani ciljevi zahvata. Takvi radovi tretirat će se kao nepredviđeni ili naknadni rad.
</t>
  </si>
  <si>
    <t>Po završetku svih radova i dobivanju uporabne dozvole za izvedenu građevinu, izvršit će se primopredaja izvedene građevine sa Investitorom. Prije primopredaje radova izvoditelj je dužan investitoru dostaviti svu dokumentaciju, naročito projekt izvedenih radova odnosno izvedbeni projekt sa svim izmjenama i dopunama nastalim u toku gradnje, građevinski dnevnik, rezultate ispitivanja itd. kao i drugu dokumentaciju temeljem koje je izdana dozvola za upotrebu građevine od nadležnog organa. Tijekom primopredaje vodit će se zapisnik o primopredaji izvedenih radova odnosno izgrađenog objekta, te je izvoditelj dužan izvršiti sve eventualne ispravke, popravke i zamjene na građevini, ukoliko se takve utvrde u tom zapisniku a u skladu sa ugovorom o izvođenju. Ove obveze izvoditelja ne isključuju njegovu obvezu da provede ispravke, ili zamjene zatražene od organa nadležnog za izdavanje dozvole za uporabu.</t>
  </si>
  <si>
    <t>Tijekom trajanja ugovorenog, jamčevnog odnosno garantnog roka, izvoditelj je dužan o svom trošku otkloniti sve nedostatke koji se pokažu u toku tog jamčevnog roka, a koji su nastupili zbog toga što se izvoditelj nije držao svojih obveza u svezi sa kvalitetom radova i materijala. Investitor će izvoditelju odrediti primjereni rok za otklanjanje nedostataka, ali ujedno zadržava pravo i na naknadu eventualne štete nastale takvim nedostacima u izvedbi. Izvoditelj nije dužan vršiti korekciju ili popravke koji su rezultat normalnog korištenja i habanja tokom upotrebe građevine. Po isteku jamčevnog odnosno garantnog roka predstavnici investitora i izvoditelja pregledat će građevinu i sastaviti popis eventualnih korekcija i popravka te odrediti rok u kojem je izvoditelj dužan provesti takve korekcije i popravke, a po izvršenju takvih popravaka isti će ponovno biti pregledani od strane Investitora, prihvaćeni i svi će se ugovoreni radovi potom isplatiti i posao će se smatrati završenim.</t>
  </si>
  <si>
    <t>CIJENA</t>
  </si>
  <si>
    <t>Tehnički uvjeti za grupe radova, bilo građevinskih ili obrtničkih, dani su posebno uz svaku grupu gdje su naznačeni uvjeti za nuđenje i izradu propisanih radova u troškovniku.</t>
  </si>
  <si>
    <t xml:space="preserve">U ponuđenoj jediničnoj cijeni trebaju biti ukalkulirani svi troškovi za rad, nabavna cijena glavnog i pomoćnog materijala, unutrašnji i vanjski transport, pripremni radovi, režija, društvene obveze, ispitivanje i dokazivanje kvalitete i svi drugi izdaci izvoditelja za potpuno dovršenje pojedine vrste rada a prema uvjetima tehičke dokumentacije, tehničkih i drugih propsia, ovih uvjeta i troškovnika. 
Sve troškove koji mogu nastati zbog specifičnosti objekta ponuđač treba uzeti u obzir kod kalkulacije jediničnih cijena i planiranja roka građenja jer te specifičnosti ne mogu biti naknadno razlog za produžetak rokova ili povišenje cijena. Za vrijeme niskih zimskih ili visokih ljetnih temperatura izvođač radova treba zaštititi objekt, jer se ponavljani rad uslijed smrzavanja ili prebrzog sušenja neće priznati, već mora biti uključen u jediničnu cijenu. Naknadni rad neće se priznati zbog štete nastale uslijed atmosferskih nepogoda ili podzemne vode.
</t>
  </si>
  <si>
    <t>Izvedba i cijena radova koje ne radi glavni izvoditelj, utvrđuju se na temelju prikupljenih ponuda od specijaliziranih zanatskih poduzeća. Prilikom izdavanja radova ovim ponuđačima treba voditi računa o njihovim referencama, kvaliteti izvedbe i kvantitativnoj strukturi radnih kapaciteta.</t>
  </si>
  <si>
    <t>Prilikom izrade kalkulacije cijena za pojedine radove, to jest utvrđivanja vrijednosti izgradnje građevine prema ovim uvjetima, jedinične cijene trebaju obuhvatiti sve elemente navedene kako slijedi:</t>
  </si>
  <si>
    <t>• Pod cijenom materijala razumijeva se dobavna cijena svih materijala koji sudjeluju u radnom procesu kao osnovni materijal te vezni materijal i materijali koji ne spadaju u finalni produkt već se koriste samo kao pomoćni materijal.</t>
  </si>
  <si>
    <t>• U cijenu treba uključiti i cijenu transportnih troškova bez obzira na način prijevoza, sa svim prijenosima, utovarima i istovarima te uskladištenjem i čuvanjem na gradilištu od uništenja i oštećenja (prebacivanjem, zaštitom i sl.).</t>
  </si>
  <si>
    <t>• U cijenu treba također uključiti i osiguranje potrebnih uzoraka i njihovu prezentaciju na zahtjev projektanta ili nadzornog inženjera</t>
  </si>
  <si>
    <t>• Uključiti sve vrste radnih i pomoćnih skela bez obzira na visinu i vrstu, sa zaštitnim ogradama na skeli i građevini te zaštitne mreže.</t>
  </si>
  <si>
    <t>• Izvođač u cijeni pojedinih radova mora obuhvatiti i slijedeće radove koji se neće zasebno platiti kao naknadni trošak, a to su: kompletna režija gradilišta, najamne troškove za posuđenu mehanizaciju, sva ispitivanja materijala s dokazom upotrebljivosti ili dobivanje potvrda i/ili isprava o ispravnosti, uređenje gradilišta po završetku rada s otklanjanjem i odvozom otpadaka, šute, inventara, pomoćnih objekata.</t>
  </si>
  <si>
    <t>Nikakvi režijski sati niti naplate po nuđenim radovima neće se posebno priznati, jer sve ima biti uključeno u jediničnu cijenu.</t>
  </si>
  <si>
    <t>Zemljani radovi izvodit će se prema odobrenom glavnom i izvedbenom projektu, pridržavajući se i  primjenjujući važeće propise i norme.</t>
  </si>
  <si>
    <t>Prije početka zemljanih radova obavezno iskolčiti gabarite objekta, te po potrebi postaviti druge potrebne oznake, označiti stalne visine, te snimiti postojeći teren radi obračuna količine iskopa.</t>
  </si>
  <si>
    <t xml:space="preserve">Izvođenje radova na gradilištu započeti tek kada je ono uređeno prema odredbama Pravilnika o zaštiti na radu u graditeljstvu. </t>
  </si>
  <si>
    <t>Izvođač je dužan izvesti sav rad oko iskopa (ručnog ili strojnog) i to do bilo koje potrebne dubine, sa svim potrebnim pomoćnim radovima, kao što je niveliranje i planiranje, nabijanje površine, obrubljivanje stranica, osiguranje od urušavanja, postava potrebne ograde, crpljenje oborinske ili procjedne vode.</t>
  </si>
  <si>
    <t>Predviđenu kategoriju tla u troškovniku treba provjeriti na gradilištu, ukoliko ne odgovara, ustanoviti ispravnu, i to unijeti u građevinski dnevnik, a što obostrano potpisuje nadzorni inženjer i rukovoditelj gradnje.</t>
  </si>
  <si>
    <t>Ukoliko se prilikom iskopa naiđe na podzemnu vodu, utvrđenu geomehaničkim izvještajem obavijestiti će se investitor putem građevinskog dnevnika. Troškove crpljenja vode za normalan rad snosi izvoditelj, kao i naknadu za otežani rad. Crpljenje oborinske vode ukalkulirano je također u jediničnoj cijeni.</t>
  </si>
  <si>
    <t>Ukoliko se prilikom iskopa pojave podzemni vodotoci ili se razina podzemne vode podigne iznad utvrđenih visina prema podacima u geomehaničkom izvještaju, crpljenje vode kod takvih izvanrednih stanja kao i naknada za otežani rad dodatno će se ugovoriti nakon verifikacije stanja po nadzornoj službi investitora.</t>
  </si>
  <si>
    <t>Kod zatrpavanja nakon izvedbe temelja i instalacija u tlu i sl., treba materijal polijevati, kako bi se mogao bolje nabiti i dobiti potrebna zbijenost, a nabijanje izvesti u slojevima do najviše 30 cm s vibro nabijačima ili žabama.</t>
  </si>
  <si>
    <t>Sve nasipe izvesti u određenoj debljini, prema izvedbenoj projektnoj dokumentaciji. Upotrebljeni materijal za nasip (šljunak, pijesak, tučenac) mora biti čist od organskih primjesa.</t>
  </si>
  <si>
    <t>Po završetku gradnje izvršiti planiranje terena, te ukloniti nepotrebno s gradilišta, odakle će se ponovnu upotrijebiti za ugradbu, a preostalo odvesti na gradsku planirku. Prevezeni materijal računa se u sraslom stanju, dok se postotak za rastresitost ukalkulira u cijenu. U cijeni je uključena naplata deponije.</t>
  </si>
  <si>
    <t>Kameni materijal koji se ugrađuje mora odgovarati propisima HRN EN 12620:2003</t>
  </si>
  <si>
    <t>Ovi uvjeti mijenjaju se ili nadponujuju opisima u pojedinim stavkama troškovnika.</t>
  </si>
  <si>
    <t>Ukoliko dođe do zatrpavanja, urušavanja, odrona ili bilo koje druge štete nepažnjom izvođača (radi nedovoljnog podupiranja, razupiranja ili drugog nedovoljnog osiguranja), izvođač je dužan dovesti iskop u ispravno stanje, odnosno popraviti štetu bez posebne naknade.</t>
  </si>
  <si>
    <t>Za sve stavke obuhvaćene troškovnikom zemljanih radova u jediničnu cijenu potrebno je uračunati sve horizontalne i vertikalne transporte, te utovar u vozilo, dok je odvoz suvišne zemlje od širokog iskopa i ostalih iskopa na deponiju obuhvaćen posebnom stavkom.</t>
  </si>
  <si>
    <t>Betonski i armiranobetonski radovi izvodit će se prema odobrenom glavnom i izvedbenom projektu, pridržavajući se i primjenjujući važeće propise i norme</t>
  </si>
  <si>
    <t>1. Važeći propisi:</t>
  </si>
  <si>
    <t>2. Hrvatske norme:</t>
  </si>
  <si>
    <t>za beton:</t>
  </si>
  <si>
    <t xml:space="preserve">HRN EN 206-1:2006 Beton -- 1. dio: Specifikacije, svojstva, proizvodnja i sukladnost (uključuje amandmane A1:2004 i A2:2005) (EN 206-1:2000+A1:2004+A2:2005)
</t>
  </si>
  <si>
    <t>HRN 1128:2007 Beton – Smjernice za primjenu norme HRN EN 206-1</t>
  </si>
  <si>
    <t>za čelik:</t>
  </si>
  <si>
    <t>HRN 1130-1:2008 Čelik za armiranje betona -- Zavarljivi čelik za armiranje -- 1. dio: Tehnički uvjeti isporuke čelika razreda A</t>
  </si>
  <si>
    <t>HRN 1130-2:2008 Čelik za armiranje betona -- Zavarljivi čelik za armiranje -- 2. dio: Tehnički uvjeti isporuke čelika razreda B</t>
  </si>
  <si>
    <t>HRN 1130-3:2008 Čelik za armiranje betona -- Zavarljivi čelik za armiranje -- 3. dio: Tehnički uvjeti isporuke čelika razreda C</t>
  </si>
  <si>
    <t>HRN 1130-4:2008 Čelik za armiranje betona -- Zavarljivi čelik za armiranje -- 4. dio: Tehnički uvjeti isporuke zavarenih mreža</t>
  </si>
  <si>
    <t>HRN 1130-5:2008 Čelik za armiranje betona -- Zavarljivi čelik za armiranje -- 5. dio: Tehnički uvjeti isporuke rešetkastih nosača</t>
  </si>
  <si>
    <t>HRN EN 10080:2005 Čelik za armiranje betona -- Zavarljivi čelik za armiranje -- Općenito (EN 10080:2005)</t>
  </si>
  <si>
    <t>za agregat:</t>
  </si>
  <si>
    <t>HRN EN 12620:2008 Agregati za beton (EN 12620:2002+A1:2008)</t>
  </si>
  <si>
    <t>HRN EN 13055-1:2003 Lagani agregati – 1. dio: Lagani agregati za beton, mort i mort za zalijevanje (EN 13055-1:2002)</t>
  </si>
  <si>
    <t>HRN EN 13055-1:2003/AC:2006 Lagani agregati -- 1. dio: Lagani agregati za beton, mort i mort za zalijevanje (EN 13055-1:2002/AC:2004)</t>
  </si>
  <si>
    <t>HRN EN 206-1:2006 Beton – 1. dio: Specifikacije, svojstva, proizvodnja i sukladnost (uključuje amandmane A1:2004 i A2:2005) (EN 206-1:2000+A1:2004+A2:2005)</t>
  </si>
  <si>
    <t xml:space="preserve">za cement: </t>
  </si>
  <si>
    <t xml:space="preserve">
</t>
  </si>
  <si>
    <t>HRN CR 14245:2004 Smjernice za primjenu EN 197-2 »Vrednovanje sukladnosti« (CR 14245:2001)</t>
  </si>
  <si>
    <t>HRN EN 197-1:2005 Cement -- 1. dio: Sastav, specifikacije i kriteriji sukladnosti cementa opće namjene (uključuje amandman A1:2004) (EN 197-1:2000+A1:2004)</t>
  </si>
  <si>
    <t>HRN EN 197-1:2005/A3:2008 Cement -- 1. dio: Sastav, specifikacije i kriteriji sukladnosti cementa opće namjene (EN 197-1:2000/A3:2007)</t>
  </si>
  <si>
    <t>HRN EN 197-2:2004 Cement -- 2. dio: Vrednovanje sukladnosti (EN 197-2:2000)</t>
  </si>
  <si>
    <t>HRN EN 197-4: 2006 Cement -- 4. dio: Sastav, specifikacije i kriteriji sukladnosti metalurškog cementa niske rane čvrstoće (EN 197-4:2004)</t>
  </si>
  <si>
    <t>HRN EN 1008:2002 Voda za pripremu betona -- Specifikacije za uzorkovanje, ispitivanje i potvrđivanje prikladnosti vode, uključujući vodu za pranje iz instalacija za otpadnu vodu u industriji betona, kao vode za pripremu betona (EN 1008:2002)</t>
  </si>
  <si>
    <t>HRN EN 206-1:2006 Beton -- 1. dio: Specifikacije, svojstva, proizvodnja i sukladnost (uključuje amandmane A1:2004 i A2:2005) (EN 206-1:2000+A1:2004+A2:2005)</t>
  </si>
  <si>
    <t xml:space="preserve">HRN EN 197-1:2005/A3:2008 Cement -- 1. dio: Sastav, specifikacije i kriteriji sukladnosti cementa opće namjene (EN 197-1:2000/A3:2007)
</t>
  </si>
  <si>
    <t>za predgotovljene betonske elemente:</t>
  </si>
  <si>
    <t xml:space="preserve">HRN EN 13369:2004 Opća pravila za predgotovljene betonske elemente (EN 13369:2004)
</t>
  </si>
  <si>
    <t xml:space="preserve">HRN EN 13369:2004/Ispr.1:2008 Opća pravila za predgotovljene betonske elemente (EN 13369:2004/AC:2007)
</t>
  </si>
  <si>
    <t>HRN EN 13369:2004/A1:2008 Opća pravila za predgotovljene betonske elemente (EN 13369:2004/A1:2006)</t>
  </si>
  <si>
    <t>HRN EN 1168:2009 Predgotovljeni betonski proizvodi -- Ploče sa šupljinama (EN 1168:2005+A2:2009)</t>
  </si>
  <si>
    <t>HRN EN 1338:2004 Betonski blokovi za popločivanje -- Zahtjevi i ispitne metode (EN 1338:2003)</t>
  </si>
  <si>
    <t>HRN EN 1338:2004/AC:2007 Betonski blokovi za popločivanje -- Zahtjevi i ispitne metode (EN 1338:2003/AC:2006)</t>
  </si>
  <si>
    <t>HRN EN 1339:2004 Betonske ploče za popločivanje -- Zahtjevi i ispitne metode (EN 1339:2003)</t>
  </si>
  <si>
    <t>HRN EN 1339:2004/AC:2007 Betonske ploče za popločivanje -- Zahtjevi i ispitne metode (EN 1339:2003)</t>
  </si>
  <si>
    <t>HRN EN 1340:2004 Betonski rubnjaci -- Zahtjevi i ispitne metode (EN 1340:2003)</t>
  </si>
  <si>
    <t>HRN EN 1340:2004/AC:2007 Betonski rubnjaci -- Zahtjevi i ispitne metode (EN 1340:2003/AC:2006</t>
  </si>
  <si>
    <t>HRN EN 14992:2008 Predgotovljeni betonski proizvodi -- Elementi za zidove (EN 14992:2007)</t>
  </si>
  <si>
    <t>za izvođenje, nadzorne radnje i kontrolni postupci na gradilištu:</t>
  </si>
  <si>
    <t>HRN EN 13670-1</t>
  </si>
  <si>
    <t>razred nadzora 2</t>
  </si>
  <si>
    <t>za izvođenje i održavanje betonskih konstrukcija:</t>
  </si>
  <si>
    <t>HRN EN 13670:2010 Izvedba betonskih konstrukcija (EN 13670:2009)</t>
  </si>
  <si>
    <t>HRN U.M1.047:1987 Ispitivanje konstrukcija visokogradnje pokusnim opterećenjem i ispitivanje do sloma</t>
  </si>
  <si>
    <t xml:space="preserve">HRN ISO 4866:1999 Mehaničke vibracije i udari -- Vibracije građevina -- Smjernice za mjerenje vibracija i ocjenjivanje njihova utjecaja na građevine (ISO 4866:1990+Amd 1:1994+Amd 2:1996)
</t>
  </si>
  <si>
    <t>HRN EN 13791:2007 Ocjena in-situ tlačne čvrstoće u konstrukcijama i predgotovljenim betonskim dijelovima (EN 13791:2007)</t>
  </si>
  <si>
    <t xml:space="preserve">HRN ISO 15686-1:2002 Zgrade i druge građevine -- Planiranje vijeka uporabe -- 1. dio: Opća načela (ISO 15686-1:2000)
</t>
  </si>
  <si>
    <t xml:space="preserve">HRN ISO 15686-2:2002 Zgrade i druge građevine -- Planiranje vijeka uporabe -- 2. dio: Postupci predviđanja vijeka uporabe (ISO 15686-2:2001)
</t>
  </si>
  <si>
    <t>HRN ISO 15686-3:2004 Zgrade i druge građevine -- Planiranje vijeka uporabe -- 3. dio: Neovisne ocjene (auditi) i pregledi svojstava (ISO 15686-3:2002)</t>
  </si>
  <si>
    <t>HRN EN 12504-1:2009 Ispitivanje betona u konstrukcijama -- 1. dio: Izvađeni ispitni uzorci -- Uzimanje, pregled i ispitivanje tlačne čvrstoće (EN 12504-1:2009)</t>
  </si>
  <si>
    <t>HRN EN 12504-2:2001 Ispitivanje betona u konstrukcijama -- 2. dio: Nerazorno ispitivanje -- Određivanje indeksa sklerometra (EN 12504-2:2001)</t>
  </si>
  <si>
    <t>HRN EN 12504-3:2005 Ispitivanje betona u konstrukcijama -- 3. dio: Određivanje sile čupanja (pull-out) (EN 12504-3:2005)</t>
  </si>
  <si>
    <t>HRN EN 12504-4:2004 Ispitivanje betona -- 4. dio: Određivanje brzine ultrazvučnog impulsa (EN 12504-4:2004)</t>
  </si>
  <si>
    <t>HRN EN 12390-1:2001 Ispitivanje očvrsloga betona -- 1. dio: Oblik, dimenzije i drugi zahtjevi za uzorke i kalupe (EN 12390-1:2000)</t>
  </si>
  <si>
    <t>HRN EN 12390-1/AC:2005 Ispitivanje očvrsloga betona -- 1. dio: Oblik, dimenzije i drugi zahtjevi za uzorke i kalupe (EN 12390-1:2000/AC:2004)</t>
  </si>
  <si>
    <t>HRN EN 12390-3:2009 Ispitivanje očvrsnuloga betona -- 3. dio: Tlačna čvrstoća ispitnih uzoraka (EN 12390-3:2009)</t>
  </si>
  <si>
    <t>Preporuča se izvoditelju radova da upotrebljava dobavljeni gotovi beton tražene marke betona od ovlaštene organizacije gdje je certificirana proizvodnja betona budući je novim propisima proizvodnja betona svrstana u sustav ocjenjivanja sukladnosti 2+ tj. betonara mora uspostaviti sustav kontrole proizvodnje prema zahtjevima norme HRN EN 206-1 i prema zahtjevima Tehničkog propisa za betonske konstrukcije.</t>
  </si>
  <si>
    <t xml:space="preserve">Zahtjevi za beton </t>
  </si>
  <si>
    <t>• konzistencija mjerena slijeganjem koju će izvođač specificirati prema uvjetima ugradnje,</t>
  </si>
  <si>
    <t>• maksimalno zrno agregata Dmax 16 i Dmax31,5,</t>
  </si>
  <si>
    <t xml:space="preserve">• razred sadržaja klorida  Cl 0,2 %, </t>
  </si>
  <si>
    <t>Svojstva očvrslog betona moraju zadovoljiti projektne zahtjeve za predmetne objekte</t>
  </si>
  <si>
    <t>• zahtjev za zadovoljenje norme HRN EN 206-1: 2006hr</t>
  </si>
  <si>
    <t>• razred tlačne čvrstoće nakon 28 dana prema HRN 12390-3 C25/30</t>
  </si>
  <si>
    <t xml:space="preserve">• razred tlačne čvrstoće nakon 28 dana prema HRN 12390-3 C30/37 </t>
  </si>
  <si>
    <t>Ispitivanje čvrstoće betona se provodi na ispitivanjima uzoraka kocaka brida 150mm sukladnih HRN EN 12390-1 i izrađenih i njegovanih prema HRN EN 12350-1 i HRN EN 12390-2.</t>
  </si>
  <si>
    <t>Planiranje betoniranja započinje specificiranjem betona. Prema zahtjevima za svojstva betona treba se  utvrduti specifikacija projektiranog betona koji će se ugraditi u predmetni objekt. Ispravna specifikacija betona jedna je od najvažnijih radnji koja predodređuje isporuku betona zahtijevane kvalitete. Beton se specificira u skladu s normom HRN EN 206-1, a specifikacija betona mora sadržavati jasne i potpune uvjete za beton.</t>
  </si>
  <si>
    <t>Prema normi HRN EN 206-1 zahtjevi su za projektirani beton, te se specifikacija projektiranog betona utvrđuje zahtjevima na svojstva svježeg betona i očvrsnulog betona. Svojstva očvrsnulog betona su zadana projektnim zahtjevima za predmetni objekt, a svojstva svježeg betona može specificirati  i izvođač prema svojoj tehnologiji ugradnje.</t>
  </si>
  <si>
    <t xml:space="preserve">Pri svakom naručivanju betona izvođač treba prema normi HRN EN 206-1 dostavljati proizvođaču betona podatke o specifikaciji naručenog betona, datum, vrijeme i dinamiku isporuke, način transporta do gradilišta, te postupak ugradnje. 
Za proizvodnju betona, odnosno kvalitetu betona do trenutka isporuke kupcu odgovoran je proizvođač betona.
</t>
  </si>
  <si>
    <t xml:space="preserve">Izvođač je odgovoran za kvalitetu betona od mjesta isporuke betona pa do ugradnje u betonsku konstrukciju. 
Transport betona do mjesta ugradnje preporuća se vršiti automiješalicama, a ugrađivanje betona iz korpe za beton uz pomoć dizalice, pumpom za beton ili za neke betonske elemente (podložni beton i sl.) na mjestima gdje je to izvedivo direktno iz automiješalice.  
</t>
  </si>
  <si>
    <t>Zahtjevi ugradnje</t>
  </si>
  <si>
    <t>Sve vrste čelika moraju imati kompaktnu homogenu strukturu. Ne smiju imati nikakvih nedostataka, mjehura, pukotina ili vanjskih oštećenja. Prilikom isporuke betonskog čelika isporučilac je dužan dostaviti ateste koji garantiraju: vlačnu čvrstoću i varivost čelika.</t>
  </si>
  <si>
    <t>U sve betonske i arm.betonske i montažne elemente potrebno je u toku betoniranja ugraditi čel.pločice, ankere za učvršćenje bravarije i limarije.</t>
  </si>
  <si>
    <t>Sve eventualne razlike i odstupanja na terenu utvrdit će se građevinskom knjigom.</t>
  </si>
  <si>
    <t>Sve proboje potrebno je uskladiti sa projektima instalacija (elektrika, grijanje, vodovod i kanalizacija). Ovaj posao se neće posebno obračunavati, već ulazi u jediničnu cijenu betona i oplate. Ukoliko nije koja stavka dovoljno opisana ili je nejasna, izvođač radova mora zatražiti razjašnjenje od projektanta prije predaje ponude, jer se kasniji prigovori neće uzeti u obzir. Svi radovi moraju se izvesti stručno, sa prvorazrednim materijalom, prema uzancama i običajima struke, te prema opisu i uputama projektanta i statičara.</t>
  </si>
  <si>
    <t>Radne rešetke u temeljnoj ploči, obodnim zidovima i na spojevima zbog podzemne vode obavezno rješavati sa ugradnjom vodonepropusnih traka. Premjeravanje i obračun izvršenih radova vršit će se prema "Prosječnim normama u građevinarstvu".</t>
  </si>
  <si>
    <t>Postavljanje i vezivanje armature izvesti točno prema armaturnim nacrtima, sa podmetanjem podložaka, kako bi se osigurala potrebna udaljenost između armature i oplate.</t>
  </si>
  <si>
    <t>Prije betoniranja obavezan je pregled armature od strane izvođača i nadzornog inženjera ili projektanta konstrukcije.</t>
  </si>
  <si>
    <t>Količine bet. željeza u troškovniku date su aproksimativno. Točne količine dati će se armaturnim nacrtima.</t>
  </si>
  <si>
    <t>Izrađena oplata, s podupiranjem, prije betoniranja mora biti od strane izvođača statički kontrolirana. Prije nego što se počne ugrađivati beton moraju se provjeriti dimenzije oplate i kakvoća njihove izvedbe, kao i čistoća i vlažnost oplate.</t>
  </si>
  <si>
    <t xml:space="preserve">Maksimalna visina padanja betona na ugradbeno mjesto ne smije biti veća od 1,5m što je naročito važno pri ugradbi stupova i ostalih vertikalnih elemenata, pa će se stoga pri ugradbi takvih  elemenata crijevo betonske pumpe maksimalno približiti i polako izvlačiti kako betoniranje napreduje da bi se izbjegla eventualna segregacija betona. Segregaciju betona treba pri ugradnji i zbijanju svesti na najmanju mjeru. Slojevi moraju biti u cijelosti kompaktirani, odnosno monolitizirani. </t>
  </si>
  <si>
    <t xml:space="preserve">Potrebno je voditi naročitu pažnju kod ugrađivanja betona kao i kod nastavaka betoniranja, te u slučaju nepredviđenog prekida betoniranja, ako više nije moguć spoj svježeg betona sa prethodnim slojem, treba spoj na prekidu posebno obraditi na način: </t>
  </si>
  <si>
    <t>približno 2-3 sata nakon prekida betoniranja nastali spoj dobro isprati mlazom vode i komprimiranog zraka, te odstraniti sve površinski nevezane čestice i zrna agregata, te tako formirati što ravniju prekidnu površinu. Ispiranje može početi  kad mlaz vode i zraka ne  kopa krupna zrna, nego samo  ispire  cementnu  skramicu. Prije  nastavka  betoniranja  površinu staroga betona očistiti i namočiti vodom. Na namočenu, a površinski ocijeđenu podlogu nanosi se sloj sredstva za povećanje prionljivosti. Ovaj premaz se ne smije osušiti prije nanošenja sloja svježeg betona.Neposredno prije betoniranja nanijeti sloj cementnog morta u debljini od 1-2 cm. Odnos količine cementa i pijeska  u mortu mora biti isti kao i u osnovnom betonu.</t>
  </si>
  <si>
    <t xml:space="preserve">Beton treba ugraditi i zbiti tako da se sva armatura i uloženi elementi dobro obuhvate betonom i osigura zaštitni  sloj betona unutar propisanih tolerancija, te beton dobije traženu čvrstoću i trajnost. Posebnu pažnju treba posvetiti ugradnji i zbijanju  betona na mjestima promjene presjeka, suženja presjeka, uz otvore, na mjestima zgusnute armature i prekida betoniranja. </t>
  </si>
  <si>
    <t>Vibriranje treba u pravilu izvoditi električnim pervibratorima. Beton treba uložiti što bliže konačnom položaju u konstrukcijskom elementu. Vibriranjem se beton ne smije namjerno navlačiti kroz oplatu i armaturu, trajanje jednog uranjanja može iznositi 10-15 sekundi. Normalna debljina sloja ne bi smjela biti veća od visine uronjenog vibratora. Vibriranje treba izvoditi sustavnim vertikalnim uranjanjem vibratora tako da se površina donjeg sloja revibrira. Kod debljih slojeva je revibriranje površinskog sloja preporučljivo i radi izbjegavanja plastičnog slijaganja betona ispod gornjih šipki armature. Korekciju konzistencije može izvršiti tehnolog za beton uz dodatak superplastifikatora prema radnoj uputi izvođača.</t>
  </si>
  <si>
    <t>Neposredno nakon betoniranja beton treba biti zaštićen od prebrzog isušivanja, od brze izmjene topline između betona i zraka, od oborina i tekuće vode, od visokih i niskih temperatura, od vibracija i drugih mehaničkih oštećenja u vrijeme vezivanja i početnog očvršćivanja.</t>
  </si>
  <si>
    <t xml:space="preserve">Da bi se osigurala zadovoljavajuća hidratacija, te izbjegla oštećenja zbog ranog i naglog skupljanja u procesu očvršćivanja betona, potrebno je da beton ima vlagu potrebnu za taj proces. </t>
  </si>
  <si>
    <t xml:space="preserve">Prema normi HRN ENV 13670-1 beton se mora njegovati sve dok površinska čvrstoća betona ne dostigne najmanje 50% specificirane tlačne čvrstoće.
Zaštitu će se izvršiti na jedan od navedenih načina ovisno o organizaciji građenja i to:
</t>
  </si>
  <si>
    <t>• zaštita sredstvom protiv isušivanja (Curing) ili nekim drugim sredstvom sličnih osobina,</t>
  </si>
  <si>
    <t xml:space="preserve">• polijevanjem vodom, </t>
  </si>
  <si>
    <t>• pokrivanjem mokrim jutenim vrećama,</t>
  </si>
  <si>
    <t>• dužim držanjem u oplati, ili</t>
  </si>
  <si>
    <t>• kombinacijom nekih od navedenih načina.</t>
  </si>
  <si>
    <t xml:space="preserve">Sve plohe betona na fasadi i u objektu koje se ne žbukaju potrebno je izraditi u propisanoj glatkoj oplati i opisu u pojedinoj stavci troškovnika. Naknadnu obradu arm.bet.glatkih zidova i stropova dužan je izvođač radova izvesti bez posebne naplate. </t>
  </si>
  <si>
    <t>Zahtjevi kontrole</t>
  </si>
  <si>
    <t>Na gradilištu je u okviru sustava osiguranja kvalitete betona potrebno uspostaviti sustav ustrojstva, upravljanja i osiguranja kvalitete ugradnje. Za te aktivnosti treba angažirati stručni kadar, te odgovarajuća oprema.</t>
  </si>
  <si>
    <t>Izvođač radova dužan je kontinuirano pratiti izvedbu vertikalnosti i hodrizontalnosti elemenata konstrukcije sa geodetskom kontrolom te sve promjene glede sljegavanja objekta, a koje nisu u skladu s predviđanjima u projektu, obavijestiti projektanta konstrukcije i nadzornu službu investitora.</t>
  </si>
  <si>
    <t>Kvaliteta čelika, betona i njegovih komponentnih materijala trebaju odgovarati "Tehničkim propisima za betonske konstrukcije"</t>
  </si>
  <si>
    <t>U sklopu nadzora betonske konstrukcije treba obuhvatiti sve kontrolne postupke, uzorkovanja i ispitivanja na mjestu ugradnje i u laboratoriju kao i vođenje svih zapisa unutar vlastite kontrole kvalitete koju provodi izvođač tijekom izvođenja betonske konstrukcije.</t>
  </si>
  <si>
    <t>Najmanji opseg propisanih kontrolnih postupaka na mjestu ugradnje obuhvaća:</t>
  </si>
  <si>
    <t>• preglede podataka na otpremnici, vizualni pregled isporučenog betona i ovjeru otpremnice,</t>
  </si>
  <si>
    <t>• uzorkovanja i ispitivanja potrebna za utvrđivanje svojstava svježeg betona  na mjestu ugradnje,</t>
  </si>
  <si>
    <t>• uzorkovanja na mjestu ugradnje potrebna za laboratorijska ispitivanja tlačne čvrstoće betona,</t>
  </si>
  <si>
    <t>• laboratorijska ispitivanja tlačne čvrstoće betona.</t>
  </si>
  <si>
    <t>Odgovorna osoba izvođača dužna je prije svakog početka ugradnje betona, za svako vozilo provjeriti jesu li podaci na  otpremnici  u skladu sa zahtjevima iz specifikacije betona, te vizuelno provjeriti je li tijekom transporta betona došlo do promjene svojstava svježeg betona. U slučaju sumnje u svojstva svježeg betona potrebno je neposredno prije ugradnje provesti ispitivanje konzistencije betona (HRN EN 12350-1 I HRN EN 12350-2) istim postupkom kojim je beton ispitan u proizvodnji.</t>
  </si>
  <si>
    <t>Uzorci za kontrolu sukladnosti će se uzimati na mjestu ugradnje betona u konstrukciju s ciljem da se utvrdi da li postignuta kakvoća betona ugrađena u konstrukcijske dijelove ili u građevinu zadovoljava projektom propisani razred tlačne čvrstoće betona. Izvođač je prema novim tehničkim propisima za betonske konstrukcije dužan provesti vrednovanje sukladnosti betona na gradilištu i to tlačne identičnosti. Uzorci betona za ispitivanje tlačne čvrstoće uzimaju se na gradilištu, te se njeguju i ispituju u gradilišnom laboratoriju. Za uzorke betona koriste se kocke brida 15 cm.</t>
  </si>
  <si>
    <t>Podaci o uzimanju i ispitivanju uzoraka se evidentiraju zapisom u građevinski dnevnik ili zapisom u odgovarajući obrazac OB 8.2.4 e. Nalogu za ispitivanje treba priložiti kopiju Otpremnice betona na kojoj su svi potrebni podaci o uzorkovanom betonu.</t>
  </si>
  <si>
    <t>Tlačna čvrstoća će se određivati na uzorcima očvrslog betona  prema normi HRN EN 12390-3, a uzorci se uzimaju prema TPBK minimalno po jedan uzorak na 100m3 betona, ali ne manje od jednog uzorka za istovrsne elemente betonske konstrukcije koji se bez prekida ugrađivanja betona izvedu unutar 24 sata od betona istih iskazanih svojstava i istog proizvođača. Ako je količina ugrađenog betona veća od 100m3, za svakih slijedećih ugrađenih 100m3 uzima se po jedan dodatni uzorak betona.</t>
  </si>
  <si>
    <t>Izvođač mora napraviti Plan uzokovanja i ispitivanja za kontrolu tlačne čvrstoće betona s minimalnim brojem uzoraka s time da stvarni broj broj uzoraka treba prilagoditi dinamici gradnje tako da bude ispunje i uvjet : minimalno jedan uzorak za svaki dan betoniranja.</t>
  </si>
  <si>
    <t xml:space="preserve">Rezultati kontrole razreda tlačne čvrstoće za kontrolu identičnosti s propisanim uvjetima kvalitete betona treba obavljat u skladu s kriterijem  za ocjenu identičnosti tlačne čvrstoće iz dodatka „B“ HRN EN 206-1 i Prilogom J iz TPBK i to na uzorcima uzetim na gradilištu prema Planu uzorkovanja i ispitivanja.
Rezultati provedenih ispitivanja dokumentiraju se zapisima (izvještajima o ispitivanju) koji čine sastavni dio gradilišne dokumentacije.
</t>
  </si>
  <si>
    <t>Jedinična cijena treba obuhvatiti sav rad i materijal sa transportima za izvedbu pojedine stavke troškovnika i to:</t>
  </si>
  <si>
    <t>sav potreban rad, uključujući nutarnji transport</t>
  </si>
  <si>
    <t>sav potreban materijal</t>
  </si>
  <si>
    <t>zaštitu betonske i armirano betonske konstrukcije od djelovanja atmosferskih nepogoda, vrućina, hladnoća i svu potrebnu njegu betona</t>
  </si>
  <si>
    <t>polijevanje oplate prije ubacivanja betona</t>
  </si>
  <si>
    <t>potrebna nabijanja betona kod ugradnje</t>
  </si>
  <si>
    <t>izradu i uskladištenje montažnih elemenata</t>
  </si>
  <si>
    <t>ispitivanje cementa, agregata i betona</t>
  </si>
  <si>
    <t>Izvođač radova je dužan prije početka radova izraditi program kontrole kvalitete upotrebljavanih materijala.</t>
  </si>
  <si>
    <t>Budući da svi transporti - vanjski i unutarnji, horizontalni i vertikalni trebaju biti uključeni u jedinične cijene, izvođač prije davanja ponude dužan je proučiti tekstualni i grafički dio projektne dokumentacije, kao i stanje na terenu, te procijeniti sve parametre u svezi s transportima i predvidjeti primjerenu tehnologiju.</t>
  </si>
  <si>
    <t>TESARSKI RADOVI, OPLATE</t>
  </si>
  <si>
    <t>Pri izvođenju drvenih konstrukcija obavezno se pridržavati propisanih normi za projektiranje i izvođenje pridržavajući se i primjenjujući važeće propise i norme. Ovi propisi i norme odnosi se i na elemente u građevinama koji nisu sastavni dio drvene konstrukcije (nekonstrukcijski elementi - drvena oplata, drvene pregrade, ograde, ispune i sl.).</t>
  </si>
  <si>
    <t>Norme za konstrukcijsko drvo:</t>
  </si>
  <si>
    <t xml:space="preserve">HRN EN 14081-1:2006 Drvene konstrukcije – Konstrukcijsko drvo pravokutnoga poprečnog presjeka razvrstano prema čvrstoći – 1. dio: Opći zahtjevi (EN 14081-1:2005)
</t>
  </si>
  <si>
    <t xml:space="preserve">HRN EN 14081-2:2010 Drvene konstrukcije -- Konstrukcijsko drvo pravokutnoga poprečnog presjeka razvrstano prema čvrstoći -- 2. dio: Strojno razvrstavanje; dodatni zahtjevi za početno ispitivanje tipa (EN 14081-2:2010)
</t>
  </si>
  <si>
    <t xml:space="preserve">HRN EN 14081-3:2006 Drvene konstrukcije – Konstrukcijsko drvo pravokutnoga poprečnog presjeka razvrstano prema čvrstoći – 3. dio: Strojno razvrstavanje; dodatni zahtjevi za tvorničku kontrolu proizvodnje (EN 14081-3:2005)
</t>
  </si>
  <si>
    <t xml:space="preserve">HRN EN 14081-4:2010 Drvene konstrukcije -- Konstrukcijsko drvo pravokutnoga poprečnog presjeka razvrstano prema čvrstoći -- 4. dio: Strojno razvrstavanje -- Prilagođavanje strojeva za razvrstavanje za strojno kontrolirane sustave (EN 14081-4:2009)
</t>
  </si>
  <si>
    <t>HRN EN 385:2006 Zupčasto spojeno konstrukcijsko drvo – Zahtjevi za izvedbu i minimalni zahtjevi proizvodnje (EN 385:2001)</t>
  </si>
  <si>
    <t>Norme za nosače i ploče na osnovi drva:</t>
  </si>
  <si>
    <t>HRN EN 14080:2006 Drvene konstrukcije – Lijepljeno lamelirano drvo – Zahtjevi (EN 14080:2005)</t>
  </si>
  <si>
    <t xml:space="preserve">HRN EN 13986:2008 Wood-based panels for use in construction -- Characteristics, evaluation of conformity and marking (EN 13986:2004)
</t>
  </si>
  <si>
    <t xml:space="preserve">HRN EN 14279:2009 Laminated Veneer Lumber (LVL) -- Definitions, classification and specifications (EN 14279:2004+A1:2009)
</t>
  </si>
  <si>
    <t xml:space="preserve">HRN EN 14374:2006 Drvene konstrukcije – Konstrukcijsko lamelirano furnirsko drvo – Zahtjevi (EN 14374:2004)
</t>
  </si>
  <si>
    <t>HRN EN 634-1:2002 Ploče s česticama povezanim cementom – Specifikacija – 1. dio: Opći zahtjevi (EN 634-1:1995)</t>
  </si>
  <si>
    <t>Norme za predgotovljene elemente:</t>
  </si>
  <si>
    <t xml:space="preserve">HRN EN 14250:2010 Drvene konstrukcije -- Zahtjevi za proizvod za predgotovljene konstrukcijske elemente sastavljene utisnutim metalnim ježastim pločama (EN 14250:2010)
</t>
  </si>
  <si>
    <t>HRN EN 13377:2004 Predgotovljeni drveni nosači oplate – Zahtjevi, razredba i ocjena (EN 13377:2002)</t>
  </si>
  <si>
    <t xml:space="preserve">Norme vezane za trajnost drva:
</t>
  </si>
  <si>
    <t xml:space="preserve">HRN EN 335-1:2008 Durability of wood and wood- based products -- Definition of use classes -- Part 1: General (EN 335-1:2006)
</t>
  </si>
  <si>
    <t>HRN EN 335-2:2008 Durability of wood and wood-based products -- Definition of use classes -- Part 2: Application to solid wood (EN 335-2:2006)</t>
  </si>
  <si>
    <t xml:space="preserve">HRN EN 335-3:2002 Trajnost drva i proizvoda na osnovi drva – Definicija razreda opasnosti od biološkog napada – 3. dio: Primjena na ploče na osnovi drva (EN 335-3:1995)
</t>
  </si>
  <si>
    <t xml:space="preserve">HRN EN 350-1:2005 Trajnost drva i proizvoda iz drva – Prirodna trajnost masivnog drva – 1. dio: Upute o temeljnim načelima ispitivanja i razredbe prirodne trajnosti drva (EN 350-1:1994)
</t>
  </si>
  <si>
    <t>HRN EN 350-2:2005 Trajnost drva i proizvoda na osnovi drva – Prirodna trajnost masivnog drva – 2. dio: Upute za određivanje prirodne trajnosti i sposobnosti tretiranja određenih vrsta drva značajnih za Europu (EN 350-2:1994)</t>
  </si>
  <si>
    <t xml:space="preserve">HRN EN 460:2005 Trajnost drva i proizvoda na osnovi drva – Prirodna trajnost masivnog drva – Upute za određivanje zahtjeva za trajnost drva u odnosu na razrede opasnosti (EN 460:1994)
</t>
  </si>
  <si>
    <t xml:space="preserve">HRN EN 14080:2006 Drvene konstrukcije – Lijepljeno lamelirano drvo – Zahtjevi (EN 14080:2005)
</t>
  </si>
  <si>
    <t>HRN ENV 1099:2002 Uslojeno drvo – Biološka trajnost – Smjernice za ocjenu uporabe uslojenog drva u različitim razredima opasnosti (ENV 1099:1997)</t>
  </si>
  <si>
    <t>Norme za izvođenje i održavanje</t>
  </si>
  <si>
    <t>HRN EN 1995-1-1:2008 Eurokod 5 -- Projektiranje drvenih konstrukcija -- Dio 1-1: Općenito -- Opća pravila i pravila za zgrade (EN 1995-1-1:2004+AC:2006+A1:2008)</t>
  </si>
  <si>
    <t>HRN ENV 12872:2002 Ploče na osnovi drva – Smjernice za uporabu nosivih ploča za podove, zidove i stropove (ENV 12872:2000)</t>
  </si>
  <si>
    <t>HRN EN 594:2006 Drvene konstrukcije -- Metode ispitivanja -- Određivanje nosivosti i krutosti drvenih okvirnih zidnih panela (EN 594:1995)</t>
  </si>
  <si>
    <t>HRN EN 595:2006 Drvene konstrukcije -- Metode ispitivanja -- Ispitivanje nosivosti i deformabilnosti rešetkastih nosača (EN 595:1995)</t>
  </si>
  <si>
    <t>HRN EN 596:2006 Drvene konstrukcije -- Metode ispitivanja -- Ispitivanje zidova od ploča na osnovi drva na djelovanje udara mekoga tijela (EN 596:1995)</t>
  </si>
  <si>
    <t>HRN U.D0.001 Projektiranje i izvođenje drvenih konstrukcija – Materijali za izradu drvenih konstrukcija i tehnički uvjeti</t>
  </si>
  <si>
    <t xml:space="preserve">HRN U.C9.200 Projektiranje i izvođenje drvenih konstrukcija – Konstrukcije od monolitnog drveta i ploča
</t>
  </si>
  <si>
    <t xml:space="preserve">HRN U.C9.300 Projektiranje i izvođenje drvenih konstrukcija – Lamelirane lijepljene konstrukcije – Tehnički uvjeti
</t>
  </si>
  <si>
    <t xml:space="preserve">HRN U.C9.400 Projektiranje i izvođenje drvenih konstrukcija – Drvene skele i oplate – Tehnički uvjeti
</t>
  </si>
  <si>
    <t>HRN U.C9.500 Projektiranje i izvođenje drvenih konstrukcija – Zaštita drveta u konstrukcijama – Tehnički uvjet</t>
  </si>
  <si>
    <t>Svi radovi moraju biti izvedeni stručno i solidno prema postojećim propisima, a u skladu sa troškovnikom i projektom. Nekvalitetan materijal mora izvođač o svom trošku otkloniti sa gradilišta.</t>
  </si>
  <si>
    <t>Okov koji se upotrebljava za učvršćenje krovne konstrukcije mora biti kvalitetan, varena mjesta nesagoriva, a sve površine koje ostaju vidljive prije ugrađivanja moraju se dva puta premazati temeljnom bojom.</t>
  </si>
  <si>
    <t>Izvođač mora upotrijebiti materijale koji su predviđeni nacrtom i troškovnikom. Ukoliko izvođač želi promijeniti vrstu materijala mora za isto tražiti odobrenje od investitora, ali isto ne smije ići na štetu kvalitete.</t>
  </si>
  <si>
    <t>Prije početka rada obavezno uzeti mjere na gradilištu.</t>
  </si>
  <si>
    <t>U jediničnoj cijeni pojedine stavke sadržan je sav rad i materijal, uskladištenje, osiguranje od oštećenja, kvara ili krađe, svi prijenosi i prijevozi, tako da je jedinična cijena konačna.</t>
  </si>
  <si>
    <t>Ukoliko se pokaže potreba, mora izvođač izvršiti ispitivanje kvalitete upotrebljenog materijala ili dokazati njihovu kvalitetu.</t>
  </si>
  <si>
    <t>Sve nejasnoće u projektu ili troškovniku mora izvođač razjasniti sa projektantom prije početka rada, te eventualne dopune ili izmjene uvesti u građevinski dnevnik.</t>
  </si>
  <si>
    <t>Obračun radova vrši se prema stvarno izvedenim količinama i prema "Prosječnim normama u građevinarstvu", ukoliko nije pojedinom stavkom troškovnika drugačije određeno.</t>
  </si>
  <si>
    <t>Ukoliko za drvenu građu krovišta nije navedena vrsta drveta, podrazumijeva se crnogorica II klase.</t>
  </si>
  <si>
    <t>U cijeni izrade krovišta uključeno je i izrada svih detalja u konstrukciji kao što su otvori za krovne prozore i prolaz dimnjaka, te svi pomoćni dijelovi konstrukcije sa potrebnim glavnim i pomoćnim (pričvrsnim) materijalima. U jediničnim cijenama uključeni su svi horizontalni i vertikalni transporti.</t>
  </si>
  <si>
    <t>Oplate, kao i razna razupiranja, moraju imati takvu sigurnost i krutost da bez slijegavanja i štetnih deformacija mogu primiti opterećenja i utjecaje koji nastaju za vrijeme izvedbe radova. Te konstrukcije moraju biti tako izvedene da osiguravaju punu sigurnost radnika i sredstava rada, kao i sigurnost prolaznika, prometa, susjednih objekata i okolice.</t>
  </si>
  <si>
    <t>Oplata mora biti izrađena točno po mjerama označenim u crtežima plana oplate za pojedine dijelove, koji će se betonirati, i to sa svim potrebnim podupiračima.</t>
  </si>
  <si>
    <t>Unutarnje površine oplate moraju biti ravne, bilo da su horizontalne, vertikalne ili nagnute prema tome kako je to u crtežima planova oplate predviđeno. Nastavci pojedinih dasaka ne smiju izlaziti iz ravnine, tako da nakon njihovog skidanja vidljive površine betona budu ravne i s oštrim rubovima, te da se osigura dobro brtvljenje i sprečavanje deformacija oplate.</t>
  </si>
  <si>
    <t>Kod premazivanja oplate ne smiju se upotrijebiti takvi premazi koji se ne bi mogli odstraniti sa gotove betonske površine ili bi nakon pranja ostale na njima mrlje.</t>
  </si>
  <si>
    <t>Pod blanjanom ili glatkom oplatom podrazumijeva se oplata sa glatkim ravnim pločama ili daskama sa stisnutim sljubnicama da ne dođe do bet.curki na površini. Površina betona mora imati potpuno jednoliku strukturu i boju. Izvođač je dužan bez posebne naknade nakon skidanja oplate očistiti površinu betona od eventualnih bet.curki, ostataka premaza oplate i slično.</t>
  </si>
  <si>
    <t>Ostale vrste oplate gdje se želi posebna struktura betona opisane su u pojedinoj stavci troškovnika.</t>
  </si>
  <si>
    <t>Ukoliko u stavci nije ništa spomenuto, podrazumijeva se upotreba obične oplate.</t>
  </si>
  <si>
    <t>U jediničnim cijenama uključeni su svi horizontalni i vertikalni transporti.</t>
  </si>
  <si>
    <t>U cijenu oplate uključiti sva podupiranja, učvršćenja, prilazne platforme i sl., te vlaženje i mazanje oplate.</t>
  </si>
  <si>
    <t>Skele (fasadne i radne) treba postaviti (montirati) čvrste i stabilne, prema Praviniku o zaštiti na radu u građevinarstvu, međusobno povezati, ukrutiti i osigurati od bilo kakvog pomicanja. Za skelu treba izvođač radova izraditi statički proračun i nacrt montaže skele. Izvana se skela mora osigurati ogradom od dasaka na visinu do 1 m od radnog poda, zatim skelu povezati i ukrutiti protiv horizontalnog pomicanja.</t>
  </si>
  <si>
    <t>Skela mora biti opskrbljena sa prilazima i osiguranim penjalicama za pristup na skelu.</t>
  </si>
  <si>
    <t>Rastavljanje i skidanje skele vrši se oprezno vodeći računa da se ne ošteti izvedena fasada.</t>
  </si>
  <si>
    <t>Jedinična cijena treba obuhvatiti:</t>
  </si>
  <si>
    <t>sav materijal, dobavu, izradu i dopremu alata, mehanizacije i uskladištenje,</t>
  </si>
  <si>
    <t>uzimanje potrebnih izmjera na objektu,</t>
  </si>
  <si>
    <t>troškove radne snage za kompletan rad,opisan u troškovniku,</t>
  </si>
  <si>
    <t>sve horizontalne i vertikalne transporte do mjesta montaže,</t>
  </si>
  <si>
    <t>potrebnu radnu skelu,</t>
  </si>
  <si>
    <t>čišćenje nakon završetka radova,</t>
  </si>
  <si>
    <t>sve potrebne HTZ mjere radnika,</t>
  </si>
  <si>
    <t>svu štetu kao i troškove popravka kao posljedica nepažnje u toku izvedbe.</t>
  </si>
  <si>
    <t>Ovi tehnički uvjeti nadopunjuju se ili mijenjaju opisom pojedinih stavki troškovnika.</t>
  </si>
  <si>
    <t>IZOLATERSKI RADOVI - HIDROIZOLACIJE</t>
  </si>
  <si>
    <t>TEHNIČKI UVJETI IZVOĐENJA</t>
  </si>
  <si>
    <t>Opći uvjeti izvođenja nadopunjuju se ovim tehničkim uvjetima, a u slučaju neusklađenosti opisa primjenjuje se sve ono propisano ovim tehničkim uvjetima. Izolaterski radovi izvodit će se prema odobrenom glavnom i izvedbenom projektu, pridržavajući se i primjenjujući važeće propise i norme.</t>
  </si>
  <si>
    <t>Hrvatske norme:</t>
  </si>
  <si>
    <t xml:space="preserve">HRN EN 13251:2002 – Geotekstili i proizvodi srodni s geotekstilom -- Zahtijevana svojstva za uporabu pri izvođenju zemljanih radova, temelja i potpornih konstrukcija (EN 13251:2000)
HRN EN 13251/A1:2005 – Geotekstili i proizvodi srodni s geotekstilom -- Zahtijevana svojstva za uporabu pri izvođenju zemljanih radova, temelja i potpornih konstrukcija (EN 13251:2000/A1:2005)
HRN EN 13252:2002 – Geotekstili i proizvodi srodni s geotekstilom -- Zahtijevana svojstva za uporabu u drenažnim sustavima (EN 13252:2000)
HRN EN 13252/A1:2005 – Geotekstili i proizvodi srodni s geotekstilom -- Zahtijevana svojstva za uporabu u drenažnim sustavima (EN 13252:2000/A1:2005)                                                                                                           </t>
  </si>
  <si>
    <t>HRN EN 13251/A1:2005 – Geotekstili i proizvodi srodni s geotekstilom -- Zahtijevana svojstva za uporabu pri izvođenju zemljanih radova, temelja i potpornih konstrukcija (EN 13251:2000/A1:2005)</t>
  </si>
  <si>
    <t>HRN EN 13252:2002 – Geotekstili i proizvodi srodni s geotekstilom -- Zahtijevana svojstva za uporabu u drenažnim sustavima (EN 13252:2000)</t>
  </si>
  <si>
    <t>HRN EN 13252/A1:2005 – Geotekstili i proizvodi srodni s geotekstilom -- Zahtijevana svojstva za uporabu u drenažnim sustavima (EN 13252:2000/A1:2005)</t>
  </si>
  <si>
    <t xml:space="preserve">HRN EN 13859-1:2008 – Savitljive hidroizolacijske trake -- Definicije i značajke podložnih traka -- 1. dio: Podložne trake za prijeklopno pokrivanje krovova (EN 13859-1:2005+A1:2008)
</t>
  </si>
  <si>
    <t xml:space="preserve">HRN EN 13859-2:2008 – Savitljive hidroizolacijske trake -- Definicije i značajke podložnih traka -- 2. dio: Podložne trake za zidove (EN 13859-2:2004+A1:2008)
</t>
  </si>
  <si>
    <t>HRN EN 13956:2005 – Savitljive hidroizolacijske trake -- Plastične i elastomerne hidroizolacijske trake za krovove -- Definicije i značajke (EN 13956:2005)</t>
  </si>
  <si>
    <t>HRN EN 13707:2009 Savitljive hidroizolacijske trake -- Bitumenske hidroizolacijske krovne trake s uloškom -- Definicije i značajke (EN 13707:2004+A2:2009)</t>
  </si>
  <si>
    <t>HRN EN 13956:2005/Ispr.1:2008 Savitljive hidroizolacijske trake -- Plastične i elastomerne hidroizolacijske trake za krovove -- Definicije i značajke (EN 13956:2005/AC:2006)</t>
  </si>
  <si>
    <t>HRN EN 13967:2005 – Savitljive hidroizolacijske trake -- Plastične i elastomerne trake za zaštitu od vlage i vode iz tla -- Definicije i značajke (EN 13967:2004)</t>
  </si>
  <si>
    <t>HRN EN 13967:2005/A1:2008 – Savitljive hidroizolacijske trake -- Plastične i elastomerne trake za zaštitu od vlage i vode iz tla -- Definicije i značajke (EN 13967:2004/A1:2006)</t>
  </si>
  <si>
    <t>HRN EN 13969:2005 – Savitljive hidroizolacijske trake -- Bitumenske trake za zaštitu od vlage i vode iz tla -- Definicije i značajke (EN 13969:2004)</t>
  </si>
  <si>
    <t>HRN EN 13969:2005/A1:2008 – Savitljive hidroizolacijske trake -- Bitumenske trake za zaštitu od vlage i vode iz tla -- Definicije i značajke (EN 13969:2004/A1:2006)</t>
  </si>
  <si>
    <t>HRN EN 13970:2005 – Savitljive hidroizolacijske trake -- Bitumenske paronepropusne trake -- Definicije i značajke (EN 13970:2004)</t>
  </si>
  <si>
    <t>HRN EN 13970:2005/A1:2008 – Savitljive hidroizolacijske trake -- Bitumenske paronepropusne trake -- Definicije i značajke (EN 13970:2004/A1:2006)</t>
  </si>
  <si>
    <t>HRN EN 13984:2005 – Savitljive hidroizolacijske trake -- Plastične i elastomerne paronepropusne trake -- Definicije i značajke (EN 13984:2004)</t>
  </si>
  <si>
    <t>HRN EN 13984:2005/A1:2008 – Savitljive hidroizolacijske trake -- Plastične i elastomerne paronepropusne trake -- Definicije i značajke (EN 13984:2004/A1:2006)</t>
  </si>
  <si>
    <t>HRN EN 14909:2008 – Savitljive hidroizolacijske trake -- Plastične i elastomerne trake za sprečavanje kapilarnog podizanja vode -- Definicije i značajke (EN 14909:2006)</t>
  </si>
  <si>
    <t>HRN EN 14967:2008 – Savitljive hidroizolacijske trake -- Bitumenske trake za sprečavanje kapilarnog podizanja vode -- Definicije i značajke (EN 14967:2006)</t>
  </si>
  <si>
    <t>HRN EN 13859-1:2010 – Savitljive hidroizolacijske trake -- Definicije i značajke podložnih traka -- 1. dio: Podložne trake za prijeklopno pokrivanje krovova (EN 13859-1:2010)</t>
  </si>
  <si>
    <t xml:space="preserve">
</t>
  </si>
  <si>
    <t>HRN EN 13859-2:2010 – Savitljive hidroizolacijske trake -- Definicije i značajke podložnih traka -- 2. dio: Podložne trake za zidove (EN 13859-2:2010)</t>
  </si>
  <si>
    <t>HRN EN 13956:2012 – Savitljive hidroizolacijske trake -- Plastične i elastomerne hidroizolacijske trake za krovove -- Definicije i značajke (EN 13956:2012)</t>
  </si>
  <si>
    <t>HRN EN 13967:2012 – Savitljive hidroizolacijske trake -- Plastične i elastomerne trake za zaštitu od vlage i vode iz tla -- Definicije i značajke (EN 13967:2012)</t>
  </si>
  <si>
    <t>HRN EN 14909:2012 – Savitljive hidroizolacijske trake -- Plastične i elastomerne trake za sprečavanje kapilarnog podizanja vode -- Definicije i značajke (EN 14909:2012)</t>
  </si>
  <si>
    <t>HRN EN 1013:2012 – Prozirne jednoslojne profilirane plastične trake za unutrašnje i vanjske krovove, zidove i stropove -- Zahtjevi i metode ispitivanja (EN 1013:2012)</t>
  </si>
  <si>
    <t>HRN EN 13984:2013 – Savitljive hidroizolacijske trake -- Plastične i elastomerne paronepropusne trake -- Definicije i značajke (EN 13984:2013)</t>
  </si>
  <si>
    <t>HRN EN 15814:2012 – Polimerom modificirani bitumenski debeloslojni premazi za hidroizolaciju -- Definicije i zahtjevi (EN 15814:2011+A1:2012)</t>
  </si>
  <si>
    <t>Ukoliko je opis neke stavke izvođaču nejasan, treba pravovremeno, prije predaje ponude, tražiti objašnjenje od provoditelja natječaja. Eventualne izmjene materijala, te način izvedbe tijekom gradnje moraju se ishoditi isključivo pismenim dogovorom s projektantom i nadzornom službom. Sve ostale radnje, koje neće biti na taj način utvrđene, neće se priznati u obračunu.</t>
  </si>
  <si>
    <t>Prije početka radova izvođač mora ustanoviti kvalitetu podloge na koju se izvodi izolacija i ako nije pogodna za rad mora o tome, na osnovu relevantnih dokaza, pismeno izvjestiti nadzornog inženjera kako bi se podloga na vrijeme popravila i pripremila za izvođenje izolacije.</t>
  </si>
  <si>
    <t>Podloga za hidroizolaciju mora biti:
- homogena,
- suha i čvrsta,
- ravna i bez šupljina na površini
- bez ulja i masti, prašine, rastresitih ili nevezanih čestica
- izvedena u projektiranim padovima.
Onečišćene podloge (zemlja, ulje i sl.) čistiti mehanički i vodom te sredstvima koja propisuje i dozvoljava proizvođač izolacijskog sustava.</t>
  </si>
  <si>
    <t>IZVEDBA</t>
  </si>
  <si>
    <t>Pažljivo izvesti savijanje traka i preklope prema uputama proizvođača, uz upotrebu tipskih prefabriciranih elemenata za složene spojeve (uglove, bridove, vodolovna grla, prodore i slično), jer će sve manjkavosti i štete nastale lošom izvedbom izolacije snositi izvođač.
Podloga mora biti očišćena od prašine, mora biti ravna i potpuno suha. Max. vlažnost podloge je 4% površinski. Parna brana se može polagati samo po suhom vremenu. Za parnu branu primjenjuju se folije kompatibilne s odabranim izolacijskim sustavom, a u skladu s uputama proizvođača sustava.</t>
  </si>
  <si>
    <t xml:space="preserve">Slojevi izolacije polažu se samo na posve suhu i očišćenu podlogu kod temperature koju definira proizvođač i materijal odabrenog izolacijskog sistema. Izolacijske trake moraju prilegnuti na podlogu ravno cijelom površinom, bez nabora i mjehura. </t>
  </si>
  <si>
    <t>Posebnu pažnju obratiti na zaštitu od požara kod rada s vrućim bitumenskim premazima i varenim ljepenkama zbog velike zapaljivosti bitumena.</t>
  </si>
  <si>
    <t>U slučaju požara gasiti pijeskom ili pjenom. Gašenje vodom je opasno zbog prskanja vrelog bitumena.</t>
  </si>
  <si>
    <t>Ukoliko se tijekom ispitivanja vodonepropusnosti ("vodene probe") ili naknadno ustanovi tj. pojavi voda i/ili vlaga zbog nesolidne izvedbe, potrebno je detaljno pregledati površinu cijelog krova te ustanoviti oštećenja hidroizolacije i eventualno slojeva toplinske izolacije i parne brane, i popraviti ih u skladu s uputama izolacijskog sustava na trošak izvođača. 
Izvođač mora, u tom slučaju, o svom trošku izvesti popravak pojedinih građevinskih i obrtničkih radova, koji se prilikom ponovne izvedbe oštete ili moraju demontirati.</t>
  </si>
  <si>
    <t>Kod višeslojnih izolacijskih sustava krovova posebnu pažnju obratiti na dinamiku izvođenja radova u skladu s vremenskim uvjetima. 
Sloj toplinske izolacije između parne brane i hidroizolacije mora biti apsolutno suh u svim fazama izvedbe. Ukoliko tijekom izvedbe slojeva krova ili pri ispitivanju vodonepropusnosti dođe do vlaženja slojeva toplinske izolacije ispod hidroizolacije, neovisno o uzroku vlaženja potrebno je podignuti sloj hidroizolacije te prosušiti sve podložne slojeve, kao i betonsku konstrukciju ispod parne brane do postotka vlažnosti propisanog od strane proizvođača sustava. 
Sve ploče toplinske izolacije na kojima se tada utvrde oštećenja nastala kao posljedica utjecaja vlage potrebno je odstraniti i u cjelosti zamjeniti neoštećenim suhim pločama.</t>
  </si>
  <si>
    <t>Pukotine koje nastaju zbog slijeganja ili higrometričnog skupljanja, prethodno se moraju zapuniti prema uputi proizvođača mase.</t>
  </si>
  <si>
    <t xml:space="preserve">Žbuke na cementnoj osnovi moraju biti pravilno vezane (7 dana za 1 cm debljine), dobro vezane s podlogom, otporne i bez prašine i boja.
Upijajuće podloge prethodno je potrebno navlažiti vodom. U svemu prema uputama proizvođača mase.
</t>
  </si>
  <si>
    <t>Prionjivost na beton:</t>
  </si>
  <si>
    <t>~ nakon 28 dana (25°C i 50% rel. Zračne vlage) - 1,1 N/mm2</t>
  </si>
  <si>
    <t>~ nakon 7 dana (25°C i 50% rel. Zračne vlage) + 21 dan u vodi - 0,6 N/mm2</t>
  </si>
  <si>
    <t xml:space="preserve">Rastezljivost prema DIN 53504 (modificirano) nakon 28 dana pri +23°C i 50% rel. Zračne vlage = 30 </t>
  </si>
  <si>
    <t>Vodonepropusnost prema EN 12390 nakon 7 dana pod tlakom 1,5 bara = vodonepropusno</t>
  </si>
  <si>
    <t>Područje primjene - izolacija zidova i podova prostorija sanitarnih čvorova.</t>
  </si>
  <si>
    <t xml:space="preserve">Cementne podloge moraju biti stabilne i suhe, ne smiju biti izložene porastu vlage. Gipsane i vrlo upijajuće podloge moraju se prethodno obraditi Primerom prema uputama proizvođača.
Između zida i poda, te između susjednih zidova postaviti specijalnu vodonepropusnu gumiranu traku prema preporuci proizvođača.
U svemu prema uputama proizvođača mase.
</t>
  </si>
  <si>
    <t>OBRAČUN</t>
  </si>
  <si>
    <t>JEDINIČNA CIJENA</t>
  </si>
  <si>
    <t>Dodatno, u jediničnu cijenu svake stavke treba biti ukalkulirano:</t>
  </si>
  <si>
    <t>. uzimanje mjera na licu mjesta, krojenje i rezanje materijala</t>
  </si>
  <si>
    <t>. izrada detalja izvedbe (ugradbe) i adekvatne radioničke dokumentacije pridržavajući se uputa proizvođača sustava i uvažavajući klimatske uvjete, te dostava na ovjeru projektantu i nadzoru u dva primjerka.</t>
  </si>
  <si>
    <t>. izvedba svih opisanih slojeva hidroizolacije, toplinske izolacije kao i završnih slojeva ukoliko je tako specificirano.</t>
  </si>
  <si>
    <t>. svi preklopi materijala i eventualni otpadni materijal za izvedbu u skladu s pravilima struke</t>
  </si>
  <si>
    <t>. upotreba prefabriciranih elemenata za složene spojeve (uglove, bridove, vodolovna grla, prodore i slično) u svemu u skladu s odabranim sustavom izolacije.</t>
  </si>
  <si>
    <t>. sav materijal i rad potreban za sva brtvljenja na mjestima spojeva i završetaka hidroizolacija, svi tipski završni profili</t>
  </si>
  <si>
    <t>. kod izvođenja radova treba se pridržavati smjernica o primjeni propisanoj od strane proizvođača materijala. Kvaliteta ugrađene hidroizolacije dokazuje se ispitivanjem vodenom probom u trajanju najmanje 48 sati, a predaje upisom u građevinski dnevnik.</t>
  </si>
  <si>
    <t>Ovi opći uvjeti se mijenjaju ili nadopunjuju opisom pojedine stavke troškovnika.</t>
  </si>
  <si>
    <t>Opći uvjeti izvođenja nadopunjuju se ovim tehničkim uvjetima, a u slučaju neusklađenosti opisa primjenjuje se sve ono propisano ovim tehničkim uvjetima. Gipskartonski radovi izvodit će se prema  tipologiji poznatih proizvođača (Knauf, Rigips i ostali) odobrenom glavnom i izvedbenom projektu, pridržavajući se i primjenjujući važeće propise i norme.</t>
  </si>
  <si>
    <t xml:space="preserve">HRN EN 520:2006 – Gipsane ploče -- Definicije, zahtjevi i ispitne metode (EN 520:2004)
</t>
  </si>
  <si>
    <t>HRN EN 12859:2008 Gipsani blokovi -- Definicije, zahtjevi i ispitne metode (EN 12859:2008)</t>
  </si>
  <si>
    <t>HRN EN 12860:2002 – Ljepila na osnovi gipsa za gipsane blokove -- Definicije, zahtjevi i ispitne metode (EN 12860:2001)</t>
  </si>
  <si>
    <t>HRN EN 12860/AC:2003 – Ljepila na osnovi gipsa za gipsane blokove -- Definicije, zahtjevi i ispitne metode (EN 12860:2001/AC:2002)</t>
  </si>
  <si>
    <t xml:space="preserve">HRN EN 13279-1:2008 – Veziva i žbuke na osnovi gipsa -- 1. dio: Definicije i zahtjevi (EN 13279-1:2008)
</t>
  </si>
  <si>
    <t>HRN EN 13658-1:2006 – Metalni profili i nosači za žbuku -- Definicije, zahtjevi i ispitne metode -- 1. dio: Unutarnje žbuke (EN 13658-1:2005)</t>
  </si>
  <si>
    <t xml:space="preserve">HRN EN 13658-2:2006 – Metalni profili i nosači za žbuku -- Definicije, zahtjevi i ispitne metode -- 2. dio: Vanjske žbuke (EN 13658-2:2005)
</t>
  </si>
  <si>
    <t>HRN EN 13815:2008 – Oblikovni elementi od vlaknom ojačanog gipsa -- Definicije, zahtjevi i ispitne metode (EN 13815:2006)</t>
  </si>
  <si>
    <t>HRN EN 13915:2008 – Predgotovljeni zidni paneli od gipsanih ploča s jezgrom iz kartonskog saća -- Definicije, zahtjevi i ispitne metode (EN 13915:2007)
)</t>
  </si>
  <si>
    <t>HRN EN 13950:2008 – Gipsane kompozitne ploče za toplinsku i zvučnu izolaciju -- Definicije, zahtjevi i ispitne metode (EN 13950:2005)</t>
  </si>
  <si>
    <t>HRN EN 13963:2007 – Materijal za obradbu i zaglađivanje spojeva gipsanih ploča -- Definicije, zahtjevi i ispitne metode (EN 13963:2005+AC:2006)</t>
  </si>
  <si>
    <t>HRN EN 14190:2008 – Dodatno obrađene gipsane ploče -- Definicije, zahtjevi i ispitne metode (EN 14190:2005)</t>
  </si>
  <si>
    <t>HRN EN 14195:2007 – Metalni profili potkonstrukcija za sustave s gipsanim pločama -- Definicije, zahtjevi i ispitne metode (EN 14195:2005+AC:2006)</t>
  </si>
  <si>
    <t xml:space="preserve">HRN EN 14209:2008 – Predgotovljeni gipsani elementi -- Definicije, zahtjevi i ispitne metode (EN 14209:2005)
</t>
  </si>
  <si>
    <t>HRN EN 14246:2006 – Gipsani elementi za spuštene stropove -- Definicije, zahtjevi i postupci ispitivanja (EN 14246:2006)</t>
  </si>
  <si>
    <t>HRN EN 14246:2006/Ispr.1:2008 – Gipsani elementi za spuštene stropove -- Definicije, zahtjevi i postupci ispitivanja (EN 14246:2006/AC:2007)</t>
  </si>
  <si>
    <t>HRN EN 14353:2008 – Pomoćni i dodatni metalni profili za uporabu s gipsanim pločama -- Definicije, zahtjevi i ispitne metode (EN 14353:2007)</t>
  </si>
  <si>
    <t>HRN EN 14496:2008 – Ljepila na osnovi gipsa za toplinsko/zvučno izolacijske kompozitne panele i gipsane ploče -- Definicije, zahtjevi i ispitne metode (EN 14496:2005)</t>
  </si>
  <si>
    <t>HRN EN 14566:2008 - Mehanička spajala za sustave s gipsanim pločama -- Definicije, zahtjevi i ispitne metode (EN 14566:2008)</t>
  </si>
  <si>
    <t>HRN EN 15283-1:2008 – Gipsane ploče s vlaknastim ojačanjem -- Definicije, zahtjevi i ispitne metode -- 1. dio: Gipsane ploče s ojačanjem iz armaturnog vala (EN 15283-1:2008)</t>
  </si>
  <si>
    <t>HRN EN 15283-2:2008 – Gipsane ploče s vlaknastim ojačanjem -- Definicije, zahtjevi i ispitne metode -- 2. dio: Gipsanovlaknaste ploče (EN 15283-2:2008)</t>
  </si>
  <si>
    <t>HRN EN 520:2010 – Gipsane ploče -- Definicije, zahtjevi i metode ispitivanja (EN 520:2004+A1:2009)</t>
  </si>
  <si>
    <t>HRN EN 14353:2010 – Pomoćni i dodatni metalni profili za uporabu s gipsanim pločama -- Definicije, zahtjevi i metode ispitivanja (EN 14353:2007+A1:2010)</t>
  </si>
  <si>
    <t>HRN EN 14566:2010 – Mehanička spajala za sustave s gipsanim pločama -- Definicije, zahtjevi i metode ispitivanja (EN 14566:2008+A1:2009)</t>
  </si>
  <si>
    <t>HRN EN 15283-1:2010 – Gipsane ploče s vlaknastim ojačanjem -- Definicije, zahtjevi i metode ispitivanja -- 1. dio: Gipsane ploče s ojačanjem iz armaturnog voala (EN 15283-1:2008+A1:2009)</t>
  </si>
  <si>
    <t>HRN EN 15283-2:2010 – Gipsane ploče s vlaknastim ojačanjem -- Definicije, zahtjevi i metode ispitivanja -- 2. dio: Gipsanovlaknaste ploče (EN 15283-2:2008+A1:2009)</t>
  </si>
  <si>
    <t>HRN EN 12859:2011 – Gipsani blokovi –– Definicije, zahtjevi i metode ispitivanja (EN 12859:2011)</t>
  </si>
  <si>
    <t>Ako u stavkama troškovnika nije drugačije navedeno:</t>
  </si>
  <si>
    <t>• konstrukcija metalnih profila nije nosiva i ne može se premještati</t>
  </si>
  <si>
    <t>• potrebno je ukalkulirati kruti spoj profila s trakom za brtvljenje sa zidom, stropom i podom, a ako postoji akustički zahtjev upotrebiti brtveni kit</t>
  </si>
  <si>
    <t>• u zidnim sustavima u cijenu je ukalkulirano 5cm deb. izolacijski sloj mineralne vune</t>
  </si>
  <si>
    <t>• obrada spojeva i završne površine se izvodi u klasi Q2/K2 tj.u standardnoj klasi koja obuhvaća obradu spojeva GK-ploča, umetanje (neobavezno) bandažne trake, zaglađivanje vidljivih dijelova sredstava za pričvršćivanje i dodatno zaglađivanje (fino zaglađivanje, završna obrada) kojim se izrađuje prelazak iz područja spoja na površinu ploče</t>
  </si>
  <si>
    <t>• dokaz o zadanom razredu požarne otpornosti  mora dokazati izvođač odgovarajućom  Izjavom o svojstvima za ugrađeni materijal</t>
  </si>
  <si>
    <t>U jediničnu cijenu gipskartonskih stijena uključuje se sav rad, materijal, transport, potrebna drvena ili metalna nosiva konstrukcija za ugradnju gipskartonskih ploča, dobava i ugradba brtvenog i pričvrsnog materijala, kao i sve radnje brtvljenja, zapunjavanje i kitanje, a prema standardima i uputstvima proizvođača. U slučaju ugradnje dovratnika ili sanitarija, potrebno je u gipskartonske zidove ugraditi dodatne nosive tipske metalne profile.</t>
  </si>
  <si>
    <t>Kod ugradnje spuštenih stropova u cijenu se uključuje dobava i ugradba metalnog ili drvenog ovjesa, brtveni i pričvrsni materijal kao i izvedbu svih opšava oko otvora, izrezivanje otvora, prilagodba potkonstrukcije i ovjesa za ugradnju opreme ili revizijskih vrata prema zahtjevima projekta (ako nisu opisani kao posebna stavka), rubova, međusobnih spojeva, izvedbu lomnih ploha, te sve potrebne radne skele i platforme.</t>
  </si>
  <si>
    <t xml:space="preserve"> ZIDARSKI RADOVI</t>
  </si>
  <si>
    <t xml:space="preserve"> Norme za ziđe</t>
  </si>
  <si>
    <t>HRN ENV 1996-1-1:2007 Eurokod 6: Projektiranje zidanih konstrukcija – 1-1. dio: Opća pravila za zgrade. Pravila za armirano i nearmirano ziđe (ENV 1996-1-1:1995)</t>
  </si>
  <si>
    <t>HRN ENV 1996-1-2:2007 Eurokod 6: Projektiranje zidanih konstrukcija – 1-2. dio: Opća pravila – Projektiranje konstrukcija na požarno djelovanje (ENV 1996-1-2:1995)</t>
  </si>
  <si>
    <t>HRN ENV 1996-1-3:2007 Eurokod 6: Projektiranje zidanih konstrukcija – 1.-3. dio: Opća pravila za zgrade – Posebna pravila za bočna opterećenja. (ENV 1996-1-3:1998)</t>
  </si>
  <si>
    <t>HRN EN 1745:2003 Zidovi i proizvodi za zidanje – Metode određivanja računskih toplinskih vrijednosti (EN 1745:2002)</t>
  </si>
  <si>
    <t>HRN EN 13501-1:2002 Razredba građevnih proizvoda i i građevnih elemenata prema ponašanju u požaru – 1. dio: Razredba prema rezultatima ispitivanja reakcije na požar (EN 13501-1:2002)</t>
  </si>
  <si>
    <t>Norme za zidne elemente</t>
  </si>
  <si>
    <t>HRN EN 771-1:2005 Specifikacije za zidne elemente – 1. dio: Opečni zidni elementi (EN 771-1:2003+A1:2005)</t>
  </si>
  <si>
    <t>HRN EN 771-2:2005 Specifikacije za zidne elemente – 2. dio: Vapnenosilikatni zidni elementi (EN 771-2:2003+A1:2005)</t>
  </si>
  <si>
    <t>HRN EN 771-3:2005 Specifikacije za zidne elemente – 3. dio: Betonski zidni elementi (gusti i lagani agregat) (EN 771-3:2003+A1:2005)</t>
  </si>
  <si>
    <t>HRN EN 771-4:2004 Specifikacije za zidne elemente – 4. dio: Zidni elementi od porastoga betona (EN 771-4:2003)</t>
  </si>
  <si>
    <t>HRN EN 771-4/A1:2005 Specifikacije za zidne elemente – 4. dio: Zidni elementi od porastoga betona (EN 771-4:2003/A1:2005)</t>
  </si>
  <si>
    <t>HRN EN 771-5:2005 Specifikacije za zidne elemente – 5. dio: Zidni elementi od umjetnoga kamena (EN 771-5:2003+A1:2005)</t>
  </si>
  <si>
    <t>HRN EN 771-6:2006 Specifikacije za zidne elemente – 6. dio: Zidni elementi od prirodnoga kamena (EN 771-6:2005)</t>
  </si>
  <si>
    <t>HRN EN 12859:2002 Gipsani blokovi – Definicije, zahtjevi i ispitne metode (EN 12859:2001)</t>
  </si>
  <si>
    <t>Norme za mort</t>
  </si>
  <si>
    <t>HRN EN 998-2:2003 Specifikacije morta za ziđe – 2. dio: Mort za ziđe (EN 998-2:2003)</t>
  </si>
  <si>
    <t>HRN CEN/TR 15225:2006 Smjernice za tvorničku kontrolu proizvodnje za označavanje oznakom CE (potvrđivanje sukladnosti 2+) za projektirane mortove (CEN/TR 15225:2005)</t>
  </si>
  <si>
    <t>HRN EN 13501-1:2002 Razredba građevnih proizvoda i građevnih elemenata prema ponašanju u požaru – 1. dio: Razredba prema rezultatima ispitivanja reakcije na požar (EN 13501-1:2002)</t>
  </si>
  <si>
    <t>Popis normi za cement, građevna vapna i druga hidraulička veziva</t>
  </si>
  <si>
    <t>HRN EN 15743:2010 – Supersulfatni cement -- Sastav, specifikacije i kriteriji sukladnosti (EN 15743:2010)</t>
  </si>
  <si>
    <t>HRN EN 459-1:2010 – Građevno vapno – 1. dio: Definicije, specifikacije i kriteriji sukladnosti (EN 459-1:2010)</t>
  </si>
  <si>
    <t xml:space="preserve">HRN EN 413-1:2007 – Zidarski cement -- 1. dio: Sastav, specifikacije i kriteriji sukladnosti (EN 413-1:2004)
</t>
  </si>
  <si>
    <t>HRN EN 413-1:2011 – Zidarski cement –– 1. dio: Sastav, specifikacije i kriteriji sukladnosti (EN 413-1:2011</t>
  </si>
  <si>
    <t xml:space="preserve">HRN EN 197-1:2012 – Cement –– 1. dio: Sastav, specifikacije i kriteriji sukladnosti cementa opće namjene (EN 197-1:2011)
</t>
  </si>
  <si>
    <t>HRN EN 15368:2010 – Hidraulično vezivo za nekonstrukcijske primjene –– Definicija, specifikacije i kriteriji sukladnosti (EN 15368:2008+A1:2010)</t>
  </si>
  <si>
    <t xml:space="preserve"> Norme za pomoćne dijelove</t>
  </si>
  <si>
    <t>HRN EN 845-1:2003 Specifikacije za pomoćne dijelove ziđa – 1. dio: Spone, vlačne trake, vješaljke i kutnici (EN 845-1:2003)</t>
  </si>
  <si>
    <t>HRN EN 845-2:2003 Specifikacije za pomoćne dijelove ziđa – 2. dio: Nadvoji (EN 845-2:2003)</t>
  </si>
  <si>
    <t>HRN EN 845-3:2003 Specifikacije za pomoćne dijelove ziđa – 3. dio: Armatura horizontalnih sljubnica od čeličnih mreža (EN 845-3:2003)</t>
  </si>
  <si>
    <t xml:space="preserve"> Norme za održavanje i izvođenje zidanih konstrukcija</t>
  </si>
  <si>
    <t>HRN ENV 13269:2001, Održavanje – Smjernice za izradu ugovora o održavanju (ENV 13269:2001)</t>
  </si>
  <si>
    <t>HRN EN 13306:2004, Nazivlje u održavanju (EN 13306:2001)</t>
  </si>
  <si>
    <t>HRN EN 13460:2004, Održavanje – Dokumentacija o održavanju (EN 13460:2002</t>
  </si>
  <si>
    <t>HRN ENV 13670-1:2002, Izvedba betonskih konstrukcija, ispitivanje građevina i održavanje građevina</t>
  </si>
  <si>
    <t>HRN ISO 15686-1:2002, Zgrade i druge građevine – Planiranje vijeka uporabe – 1. dio: Opća načela (ISO 15686-1:2000)</t>
  </si>
  <si>
    <t>HRN ISO 15686-2:2002, Zgrade i druge građevine – Planiranje vijeka uporabe – 2. dio: Postupci predviđanja vijeka uporabe (ISO 15686-2:2001)</t>
  </si>
  <si>
    <t>HRN DIN 18201:1997, Tolerancije u graditeljstvu – Pojmovi, načela, primjena, ispitivanje (DIN 18201:1997)</t>
  </si>
  <si>
    <t>HRN DIN 18202:1997, Tolerancije u visokogradnji – Zgrade (DIN 18202:1997)</t>
  </si>
  <si>
    <t>HR EN 13813</t>
  </si>
  <si>
    <t>HRN EN 13813: CT C12  F4 ili HRN EN 13813: CT C20 F5</t>
  </si>
  <si>
    <t>HR EN13813 i znak CE za suhe smjese za estrihe</t>
  </si>
  <si>
    <t>Pri izvođenju zidane konstrukcije izvođač je dužan pridržavati se projekta zidane konstrukcije i tehničkih uputa za ugradnju i uporabu građevnih proizvoda i odredaba zadanih normi. Kod preuzimanja građevnog proizvoda izvođač zidane konstrukcije mora utvrditi:</t>
  </si>
  <si>
    <t>je li građevni proizvod isporučen s oznakom u skladu s posebnim propisom i podudaraju li se podaci na dokumentaciji s kojom je građevni proizvod isporučen s podacima u oznaci,</t>
  </si>
  <si>
    <t xml:space="preserve"> je li građevni proizvod isporučen s tehničkim uputama za ugradnju i uporabu,</t>
  </si>
  <si>
    <t>jesu li svojstva, uključivo rok uporabe građevnog proizvoda te podaci značajni za njegovu ugradnju, uporabu i utjecaj na svojstva i trajnost zidane konstrukcije sukladni svojstvima i podacima određenim glavnim projektom</t>
  </si>
  <si>
    <t>Prije početka zidanja zidova potrebno je kontrolirati čvrstoću i dozvoljena odstupanja od dimenzija opeke, a prema važećim  normativima.</t>
  </si>
  <si>
    <t>U toku građenja kontrolirati okomice i ravninu zida, te geometriju zidova u odnosu na projekt.</t>
  </si>
  <si>
    <t xml:space="preserve">Spoj zida od opeke sa betonskim zidom ili stupom mora biti izveden u skladu sa propisom o zidanju na seizmičkom području. Zidanje kod temperature ispod 0°C nije dozvoljeno. </t>
  </si>
  <si>
    <t>Opeka za zidanje mora biti prvoklasna sa minimalnim odstupanjima po HRN-u. Za nosive zidove ne smiju se upotrebljavati elementi od pečene gline marke niže od M 10. Obavezno osigurati sve predviđene otvore i "žljebove" za ugradnju stolarije, bravarije i za montažu instalacija, jer se ovaj posao neće posebno obračunavati, već je sadržan u jediničnoj cijeni stavci zidanja.</t>
  </si>
  <si>
    <t>Pijesak za žbukanje mora biti čist od organskih primjesa, (ako ih ima treba ih pranjem otkloniti) oštar i prosijan. Kvaliteta vapna mora odgovarati normama. Za izradu morta upotrijebiti cement zadan normom,</t>
  </si>
  <si>
    <t>Žbukanje zidova i arm. betonske konstrukcije vršiti u pogodno vrijeme, kad su  potpuno suhi, te u optimalnoj temperaturi. Žbukanje treba izbjegavati za vrijeme zimskih niskih i ljetnih visokih temperatura, jer tada može doći do smrzavanja, odnosno prebrzog sušenja žbuke.</t>
  </si>
  <si>
    <t>Fina žbuka se nanosi na zid tako da se dobije posve ravna i glatka površina zida, a uglovi i bridovi, te spojevi zida i stropa se izvode "oštro" pod pravim kutem, ukoliko u opisu rada nije drugačije označeno.</t>
  </si>
  <si>
    <t>Gotova smjesa morta mora odgovarati točnom opisu rada, omjerima ili markama po količinama materijala označenim normama, kao i propisanoj čvrstoći morta.</t>
  </si>
  <si>
    <t>Ukoliko nije u opisu rada drugačije označeno, obračun kvadrature izvršiti po prosječnim normama. Povećanje zbog postotka otvora za vanjske plohe treba uključiti u jediničnu cijenu jer se isto ne plaća po koeficijentu povećanja zasebno.</t>
  </si>
  <si>
    <t>Žbukanje zidova mora se izvesti u skladu sa projektom uz prethodnu provjeru kvalitete zidane konstrukcije, u pogledu geometrije i čvrstoće, posebno na betonskim dijelovima gdje se moraju odstraniti eventualne masnoće od sredstva kojima se premazuje oplata radi lakšeg odvajanja od betona.</t>
  </si>
  <si>
    <t>Za izvedbu radova upotrijebiti materijale koji odgovaraju normama. Ako se opisom pojedinog rada traži materijal koji nije obuhvaćen važećim normativima, mora se ugraditi materijal u svemu prema naputku proizvođača, te sukladno garanciji i atestima ovlaštenih ustanova.</t>
  </si>
  <si>
    <t>Cementni estrih mora zadovoljavati propisane zahtjeve u pogledu ravnosti, neraspucanosti, homogenosti po presjeku, poroznosti i glatkoće površine, dilatacija, čistoće, pravilne visine i tipa izvedbe (grijani estrisi). Prilikom pripreme sastava smjese za estrih svakako posebnu pozornost treba obratiti odmjeravanju potrebnog udjela cementnog veziva u pogledu traženih mehaničkih svojstava.</t>
  </si>
  <si>
    <t>Podloga (estrih na osnovu cementnih veziva) prije početka polaganja završne podne obloge ne smije sadržavati više preostale vlage od njezina maksimalnog sadržaja koji određuje proizvođač obloge svojim normama i / ili preporukama, izvođač mora izvršiti mjerenja i ono što je time ustanovio zabilježiti na posebno namijenjenom obrascu koji se prilaže u dnevnik gradnje.</t>
  </si>
  <si>
    <t>Kod radova dobave i ugradnje, treba uključiti i eventualnu izradu elemenata koji se izvode na gradilištu u svrhu ugradnje. Sve ugradbe izvesti na mjestu označenom po projektu, bez šteta na ostatku objekta.</t>
  </si>
  <si>
    <t>Jedinična cijena sadrži dopremu materijala na gradilište, sav materijal, alat, mehanizaciju, uskladištenje, montažu i demontažu skela i radnih platformi, troškove radne snage, sve horizontalne i vertikalne transporte, čišćenje nakon izvedbe radova, svu štetu i troškove popravaka kao posljedice nepažnje), troškove zaštite na radu, troškove atesta, zaštitu zidnih površina od utjecaja vrućine, hladnoće i atmosferskih nepogoda.</t>
  </si>
  <si>
    <t>Obračun izvršenih radova izvršit će se prema jedinici mjere pojedinog rada i prema stvarno izvršenim količinama ovjerenih od nadzorne službe investitora.</t>
  </si>
  <si>
    <t>ZIDARSKO IZOLATERSKI RADOVI - TOPLINSKE IZOLACIJE</t>
  </si>
  <si>
    <t>TOPLINSKE I ZVUČNE IZOLACIJE</t>
  </si>
  <si>
    <t>Sva predložena rješenja moraju biti u skladu s postojećim propisima i standardima:</t>
  </si>
  <si>
    <t>HRN U.J6.151/82 – Akustika u građevinarstvu. Standardne vrijednosti za ocjenu zvučne izolacije</t>
  </si>
  <si>
    <t>HRN U.J6.201/89 – Akustika u građevinarstvu. Tehnički uvjeti za projektiranje i građenje zgrada</t>
  </si>
  <si>
    <t>HRN EN 13162:2008 – Toplinsko-izolacijski proizvodi za zgrade -- Tvornički izrađeni proizvodi od mineralne vune (MW) -- Specifikacija (EN 13162:2008)</t>
  </si>
  <si>
    <t>HRN EN 13163:2008 – Toplinsko-izolacijski proizvodi za zgrade -- Tvornički izrađeni proizvodi od ekspandiranog polistirena (EPS) -- Specifikacija (EN 13163:2008)</t>
  </si>
  <si>
    <t>HRN EN 13164:2008 – Toplinsko-izolacijski proizvodi za zgrade -- Tvornički izrađeni proizvodi od ekstrudirane polistirenske pjene (XPS) -- Specifikacija (EN 13164:2008)</t>
  </si>
  <si>
    <t>HRN EN 13165:2008 – Toplinsko-izolacijski proizvodi za zgrade -- Tvornički izrađeni proizvodi od tvrde poliuretanske pjene (PUR) -- Specifikacija (EN 13165:2008)</t>
  </si>
  <si>
    <t>HRN EN 13166:2009 – Toplinsko izolacijski proizvodi za zgrade -- Tvornički izrađeni proizvodi od fenolne pjene (PF) -- Specifikacija (EN 13166:2008)</t>
  </si>
  <si>
    <t>HRN EN 13167:2008 – Toplinsko-izolacijski proizvodi za zgrade -- Tvornički izrađeni proizvodi od ćelijastog (pjenastog) stakla (CG) -- Specifikacija (EN 13167:2008)</t>
  </si>
  <si>
    <t>HRN EN 13168:2008 – Toplinsko-izolacijski proizvodi za zgrade -- Tvornički izrađeni proizvodi od drvene vune (WW) -- Specifikacija (EN 13168:2008)</t>
  </si>
  <si>
    <t>HRN EN 13169:2008 – Toplinsko-izolacijski proizvodi za zgrade -- Tvornički izrađeni proizvodi od ekspandiranog perlita (EPB) -- Specifikacija (EN 13169:20008)</t>
  </si>
  <si>
    <t>HRN EN 13170:2008 – Toplinsko-izolacijski proizvodi za zgrade -- Tvornički izrađeni proizvodi od ekspandiranog pluta (ICB) -- Specifikacija (EN 13170:2008)</t>
  </si>
  <si>
    <t>HRN EN 13171:2008 – Toplinsko-izolacijski proizvodi za zgrade -- Tvornički izrađeni proizvodi od drvenih vlakana (WF) -- Specifikacija (EN 13171:2008</t>
  </si>
  <si>
    <t>Materijal:</t>
  </si>
  <si>
    <t xml:space="preserve">Sav materijal mora odgovarati normama koje se odnose na proizvode koji se ugrađuju i mora imati Izjavu o svojstvima i certifikat o stalnosti svojstava izdan od akreditirane certifikacijske kuće.
Izjava mora biti na gradilištu, te na zahtjev nadzorne službe i predočena. Uskladištenje materijala na gradilištu mora biti stručno i prema uputi proizvođača kako bi se isključila bilo kakva mogućnost propadanja.
</t>
  </si>
  <si>
    <t>Prije početka radova i ugradnje Izvođač je obavezan nadzornom inženjeru dostaviti valjane potvrde/izjave i dokaze kvalitete za sve građevinske proizvode i radove koje planira ugraditi. Bez ispunjenja ovog uvjeta početak radova neće biti mogući, a svi troškove snosi Izvođač radova.</t>
  </si>
  <si>
    <t>~ nazivna ukupna debljina ploča u ugrađenom stanju d = zadano projektom, cm</t>
  </si>
  <si>
    <t>~ nazivna duljina ploča l = 1000 mm</t>
  </si>
  <si>
    <t>~ nazivna širina ploča b = 500 mm</t>
  </si>
  <si>
    <t>~ projektna vrijednost toplinske provodljivosti ekspandiranog polistirena λ ≤ 0.040 W/(mK), ili</t>
  </si>
  <si>
    <t>~ projektna vrijednost toplinskog otpora ploča ekspandiranog polistirena iznosi R ≥ 1,00 m2K/W</t>
  </si>
  <si>
    <t>~ reakcija na vatru: eurorazred E prema HRN EN 13501-1,</t>
  </si>
  <si>
    <t xml:space="preserve">~ ugrađeni proizvod mora imati svojstva navedena u donjoj kodiranoj oznaci ili povoljnija: </t>
  </si>
  <si>
    <t>EPS - HRN EN 13163 – T4 – L1 – W1 – S1 – P3 – BS50 – DS(N)5 – ≤SD30 – CP3</t>
  </si>
  <si>
    <t>Obračun:</t>
  </si>
  <si>
    <t>~ sav materijal, alat i mehanizacija</t>
  </si>
  <si>
    <t>~ sav spojni, pomoćni i potrošni materijal potreban za izvedbu radova prema pravilima struke i uputama proizvođača</t>
  </si>
  <si>
    <t xml:space="preserve">~ sve zaštite od temperaturnih i atmosferskih nepovoljnih utjecaja </t>
  </si>
  <si>
    <t>~ troškovi radne snage za kompletan rad propisan troškovnikom</t>
  </si>
  <si>
    <t>~ troškovi svih prijevoza i prenosa, te potrebna radna skela</t>
  </si>
  <si>
    <t>~ troškovi deponiranja materijala i alata te čišćenje po završetku rada</t>
  </si>
  <si>
    <t>~ troškovi zaštite na radu</t>
  </si>
  <si>
    <t>~ troškovi svih ispitivanja i izdavanja potvrda o sukladnosti</t>
  </si>
  <si>
    <t>~ čišćenje prostorija i okoliša nakon završetka radova, svu štetu i troškove poravka kao posljedicu nepažnje u toku izvedbe</t>
  </si>
  <si>
    <t>FASADERSKI RADOVI</t>
  </si>
  <si>
    <t>Opći uvjeti izvođenja nadopunjuju se ovim tehničkim uvjetima, a u slučaju neusklađenosti opisa primjenjuje se sve ono propisano ovim tehničkim uvjetima. Fasaderski radovi izvodit će se prema odobrenom glavnom i izvedbenom projektu, pridržavajući se i primjenjujući važeće propise i norme.</t>
  </si>
  <si>
    <t xml:space="preserve">Zidarsko-fasaderski radovi izvode se isključivo prema opisima stavaka troškovnika, kao i prema važećim propisima za ovu vrstu radova. Kvaliteta svog upotrebljenog materijala mora odgovarati propisima i važećim normama, što izvoditelj mora dokazati potrebnim potvrdama / Izjavama o svojstvima.
Izvoditelj je dužan osigurati i zaštititi sve dijelove građevine na kojima se ne izvode radovi, radi sprečavanja oštećenja tokom izvedbe. Pojava svih oštećenja na dijelovima na kojima se ne izvode radovi ili koji su nastupili nepažnjom izvoditelja isti je dužan otkloniti o vlastitom trošku. Sav rad, sve komunikacije i sav transport vrši se isključivo s vanjske strane građevine, tj. preko skele. Žbukanje se izvodi na dobro očišćenoj, otprašenoj i vodom ispranoj površini. Radove na žbukanju izvoditi samo u povoljnim vremenskim uvjetima, uz odgovarajuće osiguranje i zaštitu svježe ožbukanih površina od štetnog utjecaja djelovanja sunca i oborina. Prije samog pristupanja žbukanju, površinu zida potrebno je dobro navlažiti.
</t>
  </si>
  <si>
    <t xml:space="preserve">Kvalitetu žbuke izvoditelj je dužan dokazati pribavljanjem stručnih nalaza. Spojeve stare i nove žbuke izvesti kvalitetno, tako da se nakon završne obrade ne primjećuju razlike između ploha ožbukanih starom i ploha ožbukanih novom žbukom, već da se nakon završnog sloja dobije jednoliki izgled površine. Za sve završne obrade na pročelju potrebno je izraditi uzorke koje prije početka izvođenja mora odobriti nadzorni inžinjer investitora. Izrada uzoraka završne obrade uračunata je u jediničnu cijenu pojedine stavke i ne obračunava se posebno.
Obračun svih radova vršiti kako je to naznačeno u opisu stavaka.
</t>
  </si>
  <si>
    <t>Kod izvođenja fasadnih toplinskih sustava u svemu se pridržavati Smjernica za izradu ETICS sustava prema preporuci HUPFAS. Strukturu ETICS sustava čine komponente čiji je redoslijed ugradnje, top. izolacijski materijal, armaturni sloj i završno dekorativni sloj.</t>
  </si>
  <si>
    <t xml:space="preserve">~ HRN EN 13499: Toplinsko-izolacijski proizvodi za primjenu u zgradarstvu - Povezani sustavi za vanjsku toplinsku izolaciju (ETICS) na osnovi ekspandiranog polistirena - Specifikacija
~ HRN EN 13500: Toplinsko-izolacijski proizvodi za primjenu u zgradarstvu - Povezani sustavi za vanjsku toplinsku izolaciju (ETICS) na osnovi mineralne vune - Specifikacija
~ HRN EN 13162: Toplinsko-izolacijski proizvodi za zgrade -- Tvornički izrađeni proizvodi od mineralne vune (MW) - Specifikacija
~ HRN EN 13163: Toplinsko-izolacijski proizvodi za zgrade -- Tvornički izrađeni proizvodi od ekspandiranog polistirena (EPS) - Specifikacija
~ HRNEN13164:Toplinsko-izolacijskiproizvodizazgrade--Tvorničkiizrađeniproizvodiodekstrudirane polistirenske pjene (XPS) - Specifikacija
~ HRN EN 13172: Toplinsko-izolacijski proizvodi - Vrednovanje sukladnosti
~ HRN EN 998-1: Specifikacija morta za ziđe -- 1. dio: Vanjska i unutarnja žbuka
~ HRN EN 15824: Specifikacije za vanjske i unutrašnje žbuke na osnovi organskih veziva
~ HRN EN 13501-1: Razredba građevnih proizvoda i građevnih elemenata prema ponašanju u požaru - 1. dio: Razredba prema rezultatima ispitivanja reakcije na požar
~ HRN EN 13495: Toplinsko-izolacijski proizvodi za primjenu u zgradarstvu -- Određivanje otpornosti na čupanje povezanih sustava za vanjsku toplinsku izolaciju (ETICS) (ispitivanje pjenastim blokom)
~ HRN EN 1991-1-4: Eurocode 1 -- Djelovanja na konstrukcije -- Dio 1-4: Opća djelovanja -- Djelovanja vjetra
~ ETAG 014: Smjernice za europsko tehničko dopuštenje za pričvrsnice za povezane sustave za vanjsku toplinsku izolaciju te tehničkim uputama proizvođača, članova Hrvatske udruge proizvođača fasadnih sustava – HUPFAS-a.
</t>
  </si>
  <si>
    <t>Povezani sustavi za vanjsku toplinsku izolaciju smiju se ugraditi u građevinu ako, ovisno o vrsti materijala, njihovoj  namjeni  i  uvjetima  kojima  će  biti  izloženi  u  ugrađenom  stanju,  ispunjavaju  zahtjeve  HRN  EN 13499 (za EPS) ili HRN EN 13500 (za mineralnu vunu) te dodatne zahtjeve koji se određuju projektom.
Potvrđivanje sukladnosti ETICS sustava  na  osnovi  ekspandiranog  polistirena  i  na  osnovi  mineralne vune provodi se također na način utvrđen HRN EN 13499 ili HRN EN 13500 te dodatnim zahtjevima koji se određuju projektom.
Ocjenjivanje sukladnosti ETICS-a se provodi prema sustavu 1.</t>
  </si>
  <si>
    <t>Spoj s prozorima i vratima</t>
  </si>
  <si>
    <t>Prije postavljanja priključnih profila na spojevima s prozorima i vratima moraju biti zadovoljeni sljedeći 
preduvjeti:
~ detalji  spojeva  moraju  biti  definirani  projektom  s  obzirom  na  specifičnost  objekta 
~  prozori i vrata moraju biti ugrađeni u skladu sa smjernicama i uputama proizvođača
~  prilikom ugradnje prozora i vrata montažer mora osigurati projektom zahtijevanu paronepropusnost spoja 
~  podloge na koje se postavljaju priključni profili moraju biti suhe, otprašene i odmašćene
~  temperatura zraka i podloge tijekom postavljanja ne smije biti niža od +5 °C.
Pravilno izvedeni detalji spojeva bitno utječu na trajnost i funkcionalnost ETICS-a.
Pomaci uslijed termičkih naprezanja (temperaturno uvjetovane promjene duljine) prozora i ostakljenja zahtijevaju odgovarajuće spojne elemente.</t>
  </si>
  <si>
    <t>U jediničnu cijenu radova potrebno je obračunati:</t>
  </si>
  <si>
    <t>- sve pripremne i završne radove,</t>
  </si>
  <si>
    <t>- sav otežani rad na izvedbi profilacije,</t>
  </si>
  <si>
    <t>- zaštita izvedenog dijela obrade pročelja,</t>
  </si>
  <si>
    <t>- sav potrebni horizontalni i vertikalni transport, kao i transport do gradilišta,</t>
  </si>
  <si>
    <t>- primjena svih mjera zaštite na radu,</t>
  </si>
  <si>
    <t xml:space="preserve">  sve društvene obaveze.</t>
  </si>
  <si>
    <t>Limarske radove izvesti prema opisu u troškovniku, uz eventualne korekcije projektom predviđenih razvijenih širina i opisa detalja po izmjeri na licu mjesta. Radove izvoditi po pravilima struke i primjenjujući važeće opće i posebne tehničke propise i norme :</t>
  </si>
  <si>
    <t>HRN U.N9.052 -Građ.prefabr.elementi: Prozorska limena klupčica,</t>
  </si>
  <si>
    <t>HRN U.N9.053 -Građ.prefabr.elementi: Odvodnjavanje krovova i dijelova zgrada limenim elementima</t>
  </si>
  <si>
    <t>HRN U.N9.054 -Građ.prefabr.elementi: Pokrivanje krovnih ravnina limom</t>
  </si>
  <si>
    <t>HRN U.N9.055 -Građ.prefabr.elementi: Opšivanja vanjskih dijelova zgrada limom</t>
  </si>
  <si>
    <t>Ugrađeni materijali moraju biti kvalitetni i odgovarati hrvatskim normama i to:</t>
  </si>
  <si>
    <t>Pocinčani lim HRN C.B4.081</t>
  </si>
  <si>
    <t>Limovi od aluminija i od aluminijskih legura HRN C.C4.020, HRN C.C4.025, HRN C.C4.050 - 051, HRN C.C4.060 - 062, HRN C.C4.120, HRN C.C4.150, HRN C.C4.160</t>
  </si>
  <si>
    <t>Čelični lim HRN C.B4.017, HRN C.B4.110 - 113</t>
  </si>
  <si>
    <t xml:space="preserve">Svi ostali materijali koji nisu obuhvaćeni normama moraju imati certifikate od za to ovlaštenih institucija. Konzole - nosače opšava, žljebova i cijevi izvesti iz pocinčanog željeza ili iz običnog plosnog željeza zaštićenog antikorozivnim sredstvom. </t>
  </si>
  <si>
    <t xml:space="preserve">Lim koji naliježe na betonsku podlogu ili na podlogu od opeke mora biti podložen sa krovnom ljepenkom. </t>
  </si>
  <si>
    <t>Kod spajanja raznih vrsta materijala treba na pogodan način izvesti izolaciju (premaz, izol.traka i sl.) da ne dođe do galvanskog elektriciteta.</t>
  </si>
  <si>
    <t>Izvođač je dužan prije izrade limarije uzeti sve izmjere u naravi, a također je dužan prije početka montaže ispitati sve dijelove gdje se imaju izvesti limarski radovi, te na eventualnu neispravnost istih upozoriti nadzornog inženjera, jer će se u protivnom naknadni popravci izvršiti na račun izvođača limarskih radova.</t>
  </si>
  <si>
    <t xml:space="preserve">Način izvedbe i ugradbe, te obračun u svemu prema postojećim normama za izvođenje završnih radova u građevinarstvu TU-XVII, po jedinici mjere u troškovniku i stvarno izvedenim količinama na gradilištu. </t>
  </si>
  <si>
    <t>Jedinična cijena treba sadržavati:</t>
  </si>
  <si>
    <t>sav rad uključivo i uzimanje mjere na gradnji za izvedbu i obračun,</t>
  </si>
  <si>
    <t>sav materijal uključivo pomoćni te pričvrsni materijal,</t>
  </si>
  <si>
    <t>sav rad na gradnji i u radionici,</t>
  </si>
  <si>
    <t>sav transport i uskladištenje materijala,</t>
  </si>
  <si>
    <t>čišćenje i miniziranje željeznih dijelova</t>
  </si>
  <si>
    <t>dobavu i polaganje podložne ljepenke,</t>
  </si>
  <si>
    <t>ugradbu limarije upucavanjem,</t>
  </si>
  <si>
    <t>potrebne platforme, pokretnu skelu za montažu, kuke, užad, ljestve,</t>
  </si>
  <si>
    <t>ugradbu u ziđe ili sl. potrebnih obujmica, slivnika i sl.,</t>
  </si>
  <si>
    <t>čišćenje od otpadaka nakon izvršenih radova,</t>
  </si>
  <si>
    <t>zaštitu izvedenih radova do primopredaje.</t>
  </si>
  <si>
    <t>Ovi opći uvjeti mijenjaju se ili nadopunjuju opisom pojedinih stavki troškovnika.</t>
  </si>
  <si>
    <t xml:space="preserve">Stolarske radove izvesti prema shemama stolarije i opisu u troškovniku, po pravilima zanata, primjenjujući važeće opće i posebne tehničke propise i norme, naročito: </t>
  </si>
  <si>
    <t>~ Tehnički propis za prozore i vrata (NN 69/06).</t>
  </si>
  <si>
    <t xml:space="preserve">~ Tehnički propis za aluminijske konstrukcije (NN 80/13).
</t>
  </si>
  <si>
    <t>Tehnička svojstva prozora / vrata moraju boti specificirana u projektu zgrade prema HRN EN 14351-1:2006</t>
  </si>
  <si>
    <t>~ Popis normi za vanjska i unutarnja vrata i prozore, krovne otvore i krovne svjetlike</t>
  </si>
  <si>
    <t>HRN EN 14351-1:2010 – Prozori i vrata -- Norma za proizvod, izvedbene značajke -- 1. dio: Prozori i vanjska pješačka vrata bez otpornosti na požar i/ili propuštanje dima (EN 14351-1:2006+A1:2010)</t>
  </si>
  <si>
    <t>HRN EN 1125:2008 – Građevni okovi -- Dijelovi izlaza za nuždu s pritisnom šipkom za upotrebu na evakuacijskim putovima -- Zahtjevi i ispitne metode (EN 1125:2008)</t>
  </si>
  <si>
    <t>HRN EN 1154:2008 – Građevni okovi -- Naprave za kontrolirano zatvaranje vrata -- Zahtjevi i ispitne metode (EN 1154:1996+A1:2002+AC:2006)</t>
  </si>
  <si>
    <t>HRN EN 1155:2008 – Građevni okovi -- Električki pogonjene naprave koje zadržavaju okretna vrata u otvorenome položaju -- Zahtjevi i ispitne metode (EN 1155:1997+A1:2002+AC:2006)</t>
  </si>
  <si>
    <t>HRN EN 1158:2008 – Građevni okovi -- Naprave za upravljanje vratima -- Zahtjevi i ispitne metode (EN 1158:1997+A1:2002+AC:2006)</t>
  </si>
  <si>
    <t>HRN EN 1935:2003 – Građevni okovi -- Jednoosovinske šarke -- Zahtjevi i ispitne metode (EN 1935:2002)</t>
  </si>
  <si>
    <t>HRN EN 1935/AC:2005 – Građevni okovi -- Jednoosovinske šarke -- Zahtjevi i ispitne metode (EN 1935:2002/AC:2003)</t>
  </si>
  <si>
    <t>HRN EN 12209:2008 – Građevni okovi -- Brave i zasuni -- Mehaničke brave, zasuni i pločice za zaključavanje -- Zahtjevi i ispitne metode (EN 12209:2003+AC:2005)</t>
  </si>
  <si>
    <t>HRN EN 13241-1:2008 – Industrijska, komercijalna, garažna i ostala ulazna vrata -- Norma za proizvod -- 1. dio: Proizvodi bez otpornosti na vatru ili svojstva kontrole dima (EN 13241-1:2003)</t>
  </si>
  <si>
    <t>HRN EN 13561:2008 – Vanjska sjenila -- Izvedbeni zahtjevi uključujući sigurnost (EN 13561:2004+A1:2008)</t>
  </si>
  <si>
    <t>HRN EN 13659:2008 – Zasloni -- Izvedbeni zahtjevi uključujući sigurnost (EN 13659:2004+A1:2008)</t>
  </si>
  <si>
    <t xml:space="preserve"> ~ Popis normi za ravno i profilirano staklo i proizvode od staklenih blokova</t>
  </si>
  <si>
    <t xml:space="preserve">
</t>
  </si>
  <si>
    <t>HRN EN 1279-5:2010 – Staklo u graditeljstvu -- Izolacijsko staklo -- 5. dio: Vrednovanje sukladnosti (EN 1279-5:2005+A2:2010)</t>
  </si>
  <si>
    <t>HRN EN 572-9:2005 – Staklo u graditeljstvu -- Proizvodi od osnovnog natrij-kalcij-silikatnog stakla -- 9. dio: Vrednovanje sukladnosti/Norma za proizvod (EN 572-9:2004)</t>
  </si>
  <si>
    <t>HRN EN 1036-2:2008 – Staklo u graditeljstvu -- Zrcala od srebrom presvučenog float stakla za unutarnju upotrebu -- 2. dio: Vrednovanje sukladnosti/norma za proizvod (EN 1036-2:2008)</t>
  </si>
  <si>
    <t>HRN EN 1096-4:2008 – Staklo u graditeljstvu -- Staklo s premazom -- 4. dio: Vrednovanje sukladnosti/norma za proizvod (EN 1096-4:2004)</t>
  </si>
  <si>
    <t>HRN EN 1279-5:2008 – Staklo u graditeljstvu -- Izolacijsko staklo -- 5. dio: Vrednovanje sukladnosti (EN 1279-5:2005+A1:2008)</t>
  </si>
  <si>
    <t>HRN EN 1748-1-2:2008 – Staklo u graditeljstvu -- Specijalni osnovni proizvodi -- Borosilikatna stakla -- Dio 1-2: Vrednovanje sukladnosti/norma za proizvod (EN 1748-1-2:2004)</t>
  </si>
  <si>
    <t>HRN EN 1748-2-2:2008 – Staklo u graditeljstvu -- Specijalni osnovni proizvodi -- Staklo-keramika -- Dio 2-2: Vrednovanje sukladnosti/norma za proizvod (EN 1748-2-2:2004)</t>
  </si>
  <si>
    <t>HRN EN 1863-2:2006 – Staklo u graditeljstvu -- Toplinski ojačano natrijkalcijevo silikatno staklo -- 2. dio: Vrednovanje sukladnosti/Norma za proizvod (EN 1863-2:2004)</t>
  </si>
  <si>
    <t>HRN EN 12150-2:2006 – Staklo u graditeljstvu -- Termički kaljeno natrijkalcijevo silikatno staklo -- 2. dio: Vrednovanje sukladnosti/Norma za proizvod (EN 12150-2:2004)</t>
  </si>
  <si>
    <t>HRN EN 12337-2:2006 – Staklo u graditeljstvu -- Kemijski ojačano natrijkalcijevo silikatno staklo -- 2. dio: Vrednovanje sukladnosti/Norma za proizvod (EN 12337-2:2004)</t>
  </si>
  <si>
    <t>HRN EN 13024-2:2008 – Glass in building -- Thermally toughened borosilicate safety glass -- Part 2: Evaluation of conformity/ Product standard (EN 13024-2:2004)</t>
  </si>
  <si>
    <t>HRN EN 14178-2:2008 – Staklo u graditeljstvu -- Osnovni zemnoalkalijski, silikatni, stakleni proizvodi -- 2. dio: Vrednovanje sukladnosti/Norma za proizvod (EN 14178-2:2004)</t>
  </si>
  <si>
    <t>HRN EN 14179-2:2008 – Staklo u graditeljstvu -- Toplinski prožeto, termički kaljeno, natrij kalcij silikatno, sigurnosno staklo -- 2. dio: Vrednovanje sukladnosti/norma za proizvod (EN 14179-2:2005)</t>
  </si>
  <si>
    <t>HRN EN 14321-2:2008 – Staklo u graditeljstvu -- Termički kaljeno, zemnoalkalijsko, silikatno, sigurnosno staklo -- 2. dio: Vrednovanje sukladnosti/norma za proizvod (EN 14321-2:2005)</t>
  </si>
  <si>
    <t>HRN EN 14449:2005 – Staklo u graditeljstvu -- Višeslojno staklo i višeslojno sigurnosno staklo -- Vrednovanje sukladnosti/Norma za proizvod (EN 14449:2005)</t>
  </si>
  <si>
    <t>HRN EN 14449:2005/Ispr.1:2008 – Staklo u graditeljstvu -- Višeslojno staklo i višeslojno sigurnosno staklo -- Vrednovanje sukladnosti/Norma za proizvod (EN 14449:2005/AC:2005)</t>
  </si>
  <si>
    <t xml:space="preserve">Unutarnja vrata su tipske proizvodnje, u pogledu primijenjenog materijala i kvalitetne izvedbe, kvalitete ostakljenja, primijenjenog okova, te završne obrade, jednokrilna i dvokrilna, zaokretna vrata, puna ili ostakljenja, sa nadsvjetlom ostakljenim staklom ili bez nadsvjetla. </t>
  </si>
  <si>
    <t>U skladu  sa važećim propisima vrata su razvrstana u I klasu zvučne izolacije  ili zadane Projektom racionalne uporabe energije i toplinske zaštite za pojedine stavke - sklopove. Navedene vrijednosti izvođač vrata mora potvrditi po ispitivanju ugrađene stolarije na građevini.</t>
  </si>
  <si>
    <t>U svrhu sprečavanja prolaza buke kroz ugrađena ulazna vrata potrebno je da izvođač vrata prilikom njihove ugradnje, pod posebnim stručnim nadzorom, obavi besprijekorno i u potpunosti brtvljenje svih  spojeva kvalitetnim brtvilima, zadovoljavajući pri tome zahtjeve DIN normativa u pogledu veličine fuga, kako bi se prilikom ispitivanja ugrađene stolarije na građevini postigli predviđeni parametri zvučne izolacije. Precizna veličina zidnog otvora utvrđuje se na licu mjesta.</t>
  </si>
  <si>
    <t>Visina zidnog otvora utvrđuje se od višeg gotovog poda.</t>
  </si>
  <si>
    <t>Sve izmjere kontrolirati na licu mjesta</t>
  </si>
  <si>
    <t>UGRADNJA</t>
  </si>
  <si>
    <t>Prije izrade prozora potrebno je prekontrolirati sve otvore</t>
  </si>
  <si>
    <t>U svrhu sprečavanja prolaza buke kroz ugrađena  vrata potrebno je da izvođač vrata prilikom njihove ugradnje, pod posebnim stručnim nadzorom, obavi besprijekorno i u potpunosti brtvljenje svih spojeva kvalitetnim brtvilima, zadovoljavajući pri tome zahtjeve normativa u pogledu veličine fuga, kako bi se  postigli predviđeni parametri zvučne izolacije.</t>
  </si>
  <si>
    <t xml:space="preserve">Sve stavke uključuju montažu prema RAL - smjernicama, što znači da su uključene trake za unutarnja i vanjska brtvljenja, kao i sav potreban materijal za ljepljenje i postavu traka. 
</t>
  </si>
  <si>
    <t>DRVENA STOLARIJA</t>
  </si>
  <si>
    <t>Drvo mora biti prvoklasno, potpuno zdravo, suho. Ako nije naročito propisano drvo bez kvrga, dozvoljavaju se najviše 2 zarasle kvrge promjera ispod 20 mm na 1 m. Vađenje kvrga i krpanje drvenim umecima iznimno se dozvoljava samo kod radova u unutrašnjosti zgrade i kod preličenih dijelova, ali sa posebnim odobrenjem nadzornog organa, uz garanciju stolara da se element neće kasnije izbaciti.</t>
  </si>
  <si>
    <t>Ako u troškovniku nije navedena vrsta drveta treba uzeti borovinu ili arišovinu za sve dijelove koji su izloženi vremenskim nepogodama, dok se ostali dijelovi mogu izvesti od smrekovine.</t>
  </si>
  <si>
    <t>Montažni elementi u kombinaciji drvo - aluminij (ili drugi metal) izvesti će se prema detaljima proizvođača koji moraju prethodno biti usuglašeni sa projektantom.</t>
  </si>
  <si>
    <t>Premazi moraju čvrsto prijanjati na podlogu i imati jednoličnu površinu bez tragova četke, odnosno valjka, tvorničke obrade. Boja mora biti ujednačenog intenziteta i tona, bez mrlja, tragova kitanja i oštećenja.</t>
  </si>
  <si>
    <t xml:space="preserve">Svi vidljivi dijelovi stolarije moraju biti čiste i glatke izvedbe. Premazi moraju čvrsto prijanjati na podlogu i imati jednoličnu površinu bez tragova četke, odnosno valjka, tvorničke obrade. Boja mora biti ujednačenog intenziteta i tona, bez mrlja, tragova kitanja i oštećenja. </t>
  </si>
  <si>
    <t xml:space="preserve">Unutarnji premazi moraju biti postojani na svjetlo i otporni na pranje. Vanjski premazi moraju biti otporni na atmosferilije. Podloga za sve radove mora biti u pravilu čista i bez prljavština (prašina, smola, ulje, mast, čađa, rđa, bitumen i sl.). </t>
  </si>
  <si>
    <t>Spoj stolarije sa zidom mora se prekriti sa profiliranim kutnim letvicama. Sve mjere prije izvedbe potrebno je usuglasiti na gradilištu. Sva stolarija kod dostave kao i na gradilištu mora biti zaštićena.</t>
  </si>
  <si>
    <t>Obračun izvršenih radova izvršit će se prema jedinici mjere u stavci troškovnika i broju i količini ugrađenih elemenata na objektu.</t>
  </si>
  <si>
    <t>USTAKLJENJE stolarije izvesti od prvoklasnog stakla bez boje i čisto ili ako je u boji da bude u određenoj boji jednoličnog tona, a kvalitete stakla moraju odgovarati hrvatskim normama.</t>
  </si>
  <si>
    <t>Krila prozora i vrata koja su bila skinuta zbog ostakljenja, moraju se ponovo montirati na svoje mjesto.</t>
  </si>
  <si>
    <t>Ako je materijal ili karakteristika materijala uvjetovana izborom od strane projektanta, izvođač mu je prije izvedbe dužan dostaviti uzorak na odobrenje.</t>
  </si>
  <si>
    <t>Jedinična cijena osim navedenog treba sadržavati potreban rad, pričvrsni materijal, potreban transport do gradilišta i na gradilištu, sve potrebne skele i radne platforme, sva potrebna sredstva zaštite pri radu radnika na gradilištu, čišćenje, te sve zakonom predviđene troškove.</t>
  </si>
  <si>
    <t>Obračun izvršenih radova će se izvršiti prema stvarno izvedenim količinama i važećim normativima kao i tehničkim uvjetima za staklarske radove.</t>
  </si>
  <si>
    <t xml:space="preserve">Za sve stavke u troškovniku koje nisu dovoljno jasne potrebno je da izvođač radova prije davanja ponude zatraži objašnjenje od projektanta, jer se kasniji prigovori neće uzeti u obzir. </t>
  </si>
  <si>
    <t>u cijenu uključiti izradu radioničkih nacrta koji su bazirani na nacrtima i detaljima projektanta te opisana u troškovniku. Izradi stavaka može se prići tek nakon što su radionički nacrti potpisani po nadzornom inženjeru</t>
  </si>
  <si>
    <t>sav rad u radionici i na gradnji uključivo i uzimanje mjere na gradnji za izvedbu i obračun,</t>
  </si>
  <si>
    <t>dobavu i ugradbu slijepog dovratnika i dovratnika, dobavu i ugradbu slijepog doprozornika i doprozornika, ako to opisom u pojedinoj stavci troškovnika nije drugačije određeno,</t>
  </si>
  <si>
    <t>sve troškove nabave i dopreme svog potrebnog materijala odgovarajuće kvalitete</t>
  </si>
  <si>
    <t>sav okov i to prve klase, sa bravama (cilindričnim ili usadnim) sa po tri ključa, te kvakama, štitnicima i sl., ugrađenih prema opisu u shemi ili po izboru projektanta, (kod davanja ponude naznačiti proizvođača),</t>
  </si>
  <si>
    <t>sva potrebna brtvljenja i pokrovne letvice,</t>
  </si>
  <si>
    <t>sve horizontalne i vertikalne transporte do mjesta ugradbe,</t>
  </si>
  <si>
    <t>stolarsku montažu na gradnji,</t>
  </si>
  <si>
    <t>svu štetu nastalu nepažnjom u radu,</t>
  </si>
  <si>
    <t>sva priručna pomagala prema popisu HTZ mjera,</t>
  </si>
  <si>
    <t>ustakljenje vrstom stakla naznačenom u pojedinoj stavci,</t>
  </si>
  <si>
    <t>ličenje sa svim predradnjama.</t>
  </si>
  <si>
    <t>TEHNIČKI UVJETI</t>
  </si>
  <si>
    <t xml:space="preserve">Izvođač bravarskih stavki na objektu ima slijedeće obveze:
</t>
  </si>
  <si>
    <t xml:space="preserve">1.1  Projektiranje/konstruiranje, izrada i ugradba svih dijelova koji čine integralnu, 
sigurnu i vodonepropusnu ovojnicu prema nacrtima i ovom opisu.
</t>
  </si>
  <si>
    <t>HRN EN 573:           Aluminij i alu legure - kem. sastav i oblici gnječenih proizvoda: EN AW 6060
HRN EN 755:           Aluminij i alu legure - istisnute šipke, cijevi i profili - dopuštena odstupanja mjera i oblika
HRN EN 12020:       Aluminij i alu legure - istisnuti precizni profili od legura EN AW 6060 - dopuštena odstupanja mjera i oblika
EN 13049:               Otpornost na udar mekog i teškog tijela
HRN EN 485:           Aluminij i alu legure - limovi, trake i ploče
HRN EN 1090:         Komponente čeličnih i aluminijskih konstrukcija: 1. dio - opći uvjeti isporuke
HRN EN 1090:         Izvedba čeličnih i aluminijskih konstrukcija: 2. dio -Tehnički zahtjevi za čelične  konstrukcije
HRN EN 10025;       Čelična legura: S235JR (sirovi profil)
HRN EN 10346;       Čelična legura: S 250 GD (valjani profili iz vruće pocinčanih  traka);
HRN EN 10149:       čelična legura:  S 260 NC (vučeni i normalizirani profili, elektrogalvanizirani)
HRN EN 10088        Legure inox profila - 1.4307 (AISI 304), 1.4401 (AISI 316), 1.4404 (316L)
HRN EN 10020:       Definicije i razredba vrsta čelika
HRN EN 10021:       Opći tehnički uvjeti isporuke za čelik i čelične proizvode
HRN EN 10027:       Sustavi označavanja za čelike; 1. dio nazivi čelika; 2. dio brojčani sustav
HRN EN 10025:       Toplo valjani proizvodi od konstrukcijskih čelika; 1. dio - Opći tehnički uvjeti isporuke;
                              2. dio - Tehnički uvjeti isporuke za nelegirane čelike
HRN EN 10210-1:    Toplo oblikovani šuplji profili od nelegiranih i sitnozrnatih čelika; 1.dio: Tehnički uvjeti sporuke</t>
  </si>
  <si>
    <t>HRN EN 14351-1:2006 prozori i vrata - norma za proizvod, izvedbene značajke; 1.dio: prozori i vanjska pješačka vrata bez otpornosti na požar
HRN EN 12207:2001    Prozori i vrata – Propusnost zraka, razredba
HRN EN 12208:2001    Prozori i vrata – Vodonepropusnost, razredba
HRN EN 12210:2001    Prozori i vrata – Otpornost na opterećenje vjetrom – Razredba
HRN EN 12211:2001    Prozori i vrata – Otpornost na opterećenje vjetrom – Metoda ispitivanja
HRN EN 1192: 2001     Vrata - razredba zahtjeva čvrstoče
HRN EN 1529:2001      Vratna krila - visina, širina, debljina i pravokunost - razredba dopuštenih odstupanja
HRN EN 1530:2001      Vratna krila - opća i lokalna ravnost - razredba dopuštenih odstupanja
HRN EN 12217:2005    Vrata - sile otvaranja i zatvaranja - zahtjevi i razredba
HRN EN 12219:2001    Vrata - klimatski utjecaji - zahtjevi i razredba
HRN EN 13115:2001    Prozori - razredba mehaničkih svojstava - vertikalno opterećenje, torzija, sile otvaranja i zatvaranja
HRN EN 179:2001       Građevni okovi - dijelovi izlaza za nuždu s kvakom ili pritisnom pločom - zahtjevi i metode ispitivanja</t>
  </si>
  <si>
    <t>HRN EN 12206:      Boje i lakovi - prekrivni materijali za aluminij i alu legure za arhitektonske potrebe  
HRN EN ISO 2808: Boje i lakovi- određivanje debljine filma
HRN EN ISO 8501: Priprema čeličnih podloga prije nanošenja boja i srodnih proizvoda - vizualna procjena čistoče površine - 1.dio: Stupnjevi hrđanja i stupnjevi pripreme           nezaštićenih čeličnih površina nakon potpunog uklanjanja prethodnih prevlaka;               2.dio: Stupnjevi pripreme prethodno zaštićenih čeličnih površina nakon mjestimičnog uklanjanja prethodnih prevlaka
HRN EN 8503:        Priprema čeličnih podloga prije nanošenja boja i srodnih proizvoda - 1.dio:  specifikacije i definicije ISO komparatora profila površine;                                     2.dio: Metoda stupnjevanja profila površine čelika čišćenog mlazom abraziva
HRN EN 12944-1:   Boje i lakovi - Zaštita od korozije čeličnih konstrukcija zaštitnim sustavom boja -  opći uvod</t>
  </si>
  <si>
    <t>HRN EN 13479:      Opća norma za dodatni i potrošni materijal za zavarivanje čelika - dodatni materijali i praškovi za zavarivanje taljenjem
HRN EN ISO 2560: Dodatni i potrošni materijal za ručno elektrolučno zavarivanje nelegiranih i
                             sitnozrnatih čelika - razredba
HRN EN 439:          Dodatni i potrošni materijali - zaštitni plinovi za REL i rezanje
HRN EN 440:          Dodatni materijali za zavarivanje čelika - žice za elektrolučno zavarivanje taljivom elektrodom u zaštitnoj atmosferi plinova
HRN EN 1670:        Građevni okovi - otpornost na koroziju - zahtjevi i ispitne metode</t>
  </si>
  <si>
    <t>HRN EN 410:1998       Staklo u graditeljstvu - određivanje svjetlosnih i sunčanih značajka ostakljenja
HRN EN 947:1998       Zaokretna i okretna vrata - određivanje otpornosti na vertikalno opterećenje
HRN EN 948:1999       Zaokretna i okretna vrata - određivanje otpornosti na statičku torziju
HRN EN 949:1998       Prozori i ovješene fasade vrata, rebrenice i zasloni - određivanje otpornosti na udar  mekoga i teškoga tijela
HRN EN 950:1999       Određivanje otpornosti na udar tvrdim tijelom
HRN EN 1026:2000     Prozori i vrata - propusnost zraka, metoda ispitivanja
HRN EN 1027:2000     Prozori i vrata - metoda ispitivanja
HRN EN 1121:2000     Ponašanje između dva različita klimatska uvjeta - metoda ispitivanja
HRN EN 1191:2000     Prozori i vrata - otpornost na uzastopno otvaranje i zatvaranje - metoda ispitivanja
HRN EN 12046-1:2003 Sile otvaranja i zatvaranja - ispitne metode - 1.dio: prozori
HRN EN 12046-2:2000 Sile otvaranja i zatvaranja - metoda ispitivanja - 1.dio: vrata 
HRN EN 12211:2000   Prozori i vrata - Otpornost na opterećenje vjetrom - metoda ispitivanja
HRN EN ISO 140-3     Akustika - mjerenje razine zvuka u zgradama i elem. zgrada - 3.dio: lab. mjerenja
HRN EN ISO 717-1     Akustika - određivanje razine zvuka u zgradama
HRN EN ISO 12657  Termička svojstva prozora i vrata - lab. ispitivanjeprolaza topline pomoću vruće kutije 1.dio: gotovi prozori i vrata; 2.dio: krovni prozori</t>
  </si>
  <si>
    <t xml:space="preserve"> BRAVARSKI RADOVI</t>
  </si>
  <si>
    <t>Svi radovi moraju biti izvedeni stručno i solidno, u skladu sa zahtjevima propisa, važećih normi, uzancama zanata i graditeljskoj praksi.</t>
  </si>
  <si>
    <t>Opći konstrukcioni čelici HRN C.B0.500</t>
  </si>
  <si>
    <t>Okrugli čelik vruće valjani HRN C.B3.021</t>
  </si>
  <si>
    <t>Kvadratni čelici vruće valjani HRN C.B3.024</t>
  </si>
  <si>
    <t>Plosnati čelici vruće valjani HRN C.B3.025</t>
  </si>
  <si>
    <t>Širokoplosnati čelici vruće valjani HRN C.B3.030</t>
  </si>
  <si>
    <t>Čelični ravnokraki ugaonici vruće valjani HRN C.B3.101</t>
  </si>
  <si>
    <t>Čelični raznokraki ugaonici vruće valjani HRN C.B3.111</t>
  </si>
  <si>
    <t>Kvadratni čelici hladnovučeni HRN C.B3.421</t>
  </si>
  <si>
    <t>Plosnati čelici hladnovučeni HRN C.B3.431</t>
  </si>
  <si>
    <t>Okrugli čelik HRN C.K6.020</t>
  </si>
  <si>
    <t>Čelični limovi debeli HRN C.B4.110</t>
  </si>
  <si>
    <t>Čelični limovi srednji HRN C.B4.111</t>
  </si>
  <si>
    <t>Čelični limovi tanki HRN C.B4.112</t>
  </si>
  <si>
    <t>Čelične cijevi sa šavom HRN C.B5.213</t>
  </si>
  <si>
    <t>Čelične cijevi bez šava HRN C.B5.221</t>
  </si>
  <si>
    <t>Profili od aluminija HRN C.C3.020 do HRN C.C3.220</t>
  </si>
  <si>
    <t>Limovi i trake od aluminija i aluminijskih legura HRN C.C4.019, HRN C.C4.020, HRN C.C4.050 do HRN C.C4.151</t>
  </si>
  <si>
    <t>Limovi, trake i profili od aluminija i aluminijskih legura za građevinarstvo anodno oksidirani HRN C.C4.160</t>
  </si>
  <si>
    <t>Cijevi od aluminija i aluminijskih legura HRN C.C5.020 do HRN C.C5.131</t>
  </si>
  <si>
    <t>Okovi za vrata i prozore HRN M.K3.031 i HRN M.K3.032 HRN M.K3.270 - HRN M.K3.272</t>
  </si>
  <si>
    <t>Zvučna izolacija prozora i vratiju HRN U.J6.201 (klasifikacija u V grupa)</t>
  </si>
  <si>
    <t>Zvučna izolacija prozora i vratiju HRN U.J6.041 (ispitivanje u laboratoriju)</t>
  </si>
  <si>
    <t>Zvučna izolacija prozora i vratiju HRN U.J6.045 (terenska mjerenja)</t>
  </si>
  <si>
    <t>Izvođač je dužan prije izrade predočiti projektantu i nadzornom inženjeru radioničke detalje na odobrenje.</t>
  </si>
  <si>
    <t>Antikorozivna zaštita čeličnih dijelova mora biti u skladu sa važećim propisima "Pravilnika o tehničkim mjerama i uvjetima za zaštitu čeličnih konstrukcija od korozije".</t>
  </si>
  <si>
    <t>Kompletna površinska obrada svih materijala mora biti u skladu sa važećim propisima i uputama proizvođača primjenjenog materijala (sredstva), a prema zahtjevu projektanta.</t>
  </si>
  <si>
    <t>Željezni dijelovi spajaju se varenjem. Svaki sastav mora biti tako konstruktivno riješen da na vanjskim površinama nema vidljivih vijaka.</t>
  </si>
  <si>
    <t>Radioničke nacrte i detalje izvođač radova obavezno daje na suglasnost projektantu.</t>
  </si>
  <si>
    <t>Svi tehnički i fizikalni zahtjevi trebaju biti ispunjeni prema propisima ili prema posebnim traženjima projektanta.</t>
  </si>
  <si>
    <t>Konstrukcija mora biti dimenzionirana tako da sigurno prihvaća opterećenja i funkcije elemenata. Sve nosive dijelove statički provjeriti.</t>
  </si>
  <si>
    <t xml:space="preserve">Neravnine nakon zavarivanja potrebno je fino obraditi. Na montiranim dijelovima - elementima ne smiju se vidjeti nikakvi tragovi oštećenja, a isti moraju precizno naljegati. Okov, boja i materijal mora biti prema opisu uz shemu i detalje proizvođača uz suglasnost investitora i projektanta. </t>
  </si>
  <si>
    <t>Za protupožarnu bravariju obavezno dostaviti certifikate od referentne ustanove.</t>
  </si>
  <si>
    <t>Svaku stavku iz sheme bravarije treba ponuditi kao gotov, montiran učvršćen i zaštićen proizvod bez obzira da li se radi o vratima, nadsvjetlima, ventilacionim mrežama, ogradama, rukohvatima ili slično sa potrebnim okovom, ostakljenjem i zaštitom za funkcionalnu upotrebu. Isto važi i za slijepe dovratnike i doprozornike, odnosno sidra za ugradbu ili komade za usidrenje, koje treba na vrijeme dostaviti radi ugradbe u građevinske konstrukcije.</t>
  </si>
  <si>
    <t>Ukoliko koja stavka nije dovoljno opisana ili je nejasna, prije predaje ponude izvođač mora zatražiti razjašnjenje kod projektanta jer se kasniji prigovori neće uzeti u obzir.</t>
  </si>
  <si>
    <t>Jedinična cijena osim navedenog treba sadržavati potreban rad, sav pričvrsni materijal, plastične profile, plastični kit, sav potreban transport do gradilišta i na gradilištu, sve potrebne skele i radne platforme, sva potrebna sredstva zaštite pri radu radnika na gradilištu, čišćenje, te sve zakonom predviđene troškove.</t>
  </si>
  <si>
    <t>Staklarske radove izvesti prema:</t>
  </si>
  <si>
    <t>HRN U.F2.025- Tehnički uvjeti za izvođenje staklarskih radova</t>
  </si>
  <si>
    <t>Za izradu ponude ponuđač je dužan primijeniti relevantne propise i norme važeće u Republici Hrvatskoj kao i međunarodno priznate norme za područja koja nisu pokrivena normama u Republici Hrvatskoj ili garantiraju viši nivo kvalitete od HRN.</t>
  </si>
  <si>
    <t xml:space="preserve">Svi upotrebljeni materijali trebaju biti potvrđeni kvalitetom proizvođača. Izvođač radova dužan je prije početka rada pregledati sve površine na gradnji, te izvođaču građevinskih radova dati svoje eventualne primjedbe. </t>
  </si>
  <si>
    <t>Premazi moraju čvrsto prijanjati na podlogu i imati jednoličnu površinu bez tragova četke, odnosno valjka. Boja mora biti ujednačenog intenziteta i tona, bez mrlja, tragova kitanja i oštećenja.</t>
  </si>
  <si>
    <t>Unutarnji uljani premazi moraju biti postojani na svjetlo i otporni na pranje. Vanjski premazi moraju biti otporni na atmosferilije. Podloga za sve radove mora biti u pravilu čista i bez prljavština (prašina, smola, ulje, mast, čađa, rđa, bitumen i sl.). Opće je pravilo da prije završne obrade treba sve metalne dijelove ugrađene u podlozi zaštititi premazivanjem antikorozivnim sredstvom.</t>
  </si>
  <si>
    <t>U cijeni radova uključen je i sav pomoćni rad i materijal, svi transporti, kao i sve potrebne skele, podesti i druga pomagala, skidanje i ponovno vješanje prozorskih i vratnih krila, izrada uzoraka, pogonska energija, sredstva zaštite na radu i drugo.</t>
  </si>
  <si>
    <t>Obračun izvršenih radova izvršit će se po jedinici mjere pojedine stavke u troškovniku prema stvarno izvedenim količinama radova na gradilištu.</t>
  </si>
  <si>
    <t>dobavu i ugradbu slijepog dovratnika i dovratnika, dobavu i ugradbu slijepog doprozornika i doprozornika,</t>
  </si>
  <si>
    <t>ako to opisom u pojedinoj stavci nije drugačije određeno,</t>
  </si>
  <si>
    <t>jednokratni osnovni premaz prema uvjetima antikrozivne zaštite u radioni, te kompletnu zaštitu sa finalnom,</t>
  </si>
  <si>
    <t>obradom ličenjem čeličnih dijelova, odnosno plastificiranjem ili eloksiranjem alu profila,</t>
  </si>
  <si>
    <t xml:space="preserve"> KERAMIČARSKI RADOVI</t>
  </si>
  <si>
    <t>Opločenje zidova ili podova izvršiti će se prema opisu u pojedinoj stavci troškovnika iz prvorazrednog novog (neupotrebljenog) materijala u svemu prema tehničkim uvjetima za keramičarske radove i hrvatskim normama i to:</t>
  </si>
  <si>
    <t>Pločice za oblaganje podova</t>
  </si>
  <si>
    <t>HRN EN 14411:2008 – Keramičke pločice -- Definicije, razredba, značajke i označivanje (EN 14411:2006)
HRN EN 15285:2008 – Kameni aglomerat -- Modularne pločice za podove i stube (unutrašnje i vanjske) (EN 15285:2008+AC:2008)
HRN EN 14411:2012 – Keramičke pločice -- Definicije, razredba, značajke, ocjena sukladnosti i označivanje (EN 14411:2012).
HRN EN 13888:2007 – Mase za fugiranje keramičkih pločica i ploča -- Definicije i specifikacije (EN 13888:2002)
HRN EN 13888:2010 – Mase za fugiranje keramičkih pločica i ploča -- Zahtjevi, vrednovanje sukladnosti, razredba i označivanje (EN 13888:2009)</t>
  </si>
  <si>
    <t>Pocakljene podne pločice moraju zadovoljavati uvjete ovih normi: HRN B.D1.305, HRN B.D1.306, HRN B.D1.450 i HRN B.D8.052., HRN B.D6.058, HRN B.D8.062</t>
  </si>
  <si>
    <t>Pločice za oblaganje zidova moraju zadovoljavati uvjete ovih normi: HRN B.D1.300, HRN B.D1.301, HRN B.D8.050 i HRN B.D8.099.</t>
  </si>
  <si>
    <t>Granitno porculanske pločice polažu se prema preporuci proizvođača. Pločice moraju biti kalibrirane i obavezno je priložiti Izjavu o svojstvima s podacima za čvrstoću, otpornost na habanje, protukliznost, otpornost na kemikalije.</t>
  </si>
  <si>
    <t>Izvođač je dužan prije početka radova ispitati podlogu, te eventualne neispravnosti javiti nadzornom organu. Površine koje se oblažu moraju biti čiste, bez prašine i drugih prljavština, ravne i suhe, te bez neravnina. Ljepljenje pločica izvodi se ljepilom. Za ljepljenje keramičkih pločica mogu se upotrijebiti samo ona ljepila koja su od strane proizvođača deklarirana za određenu vrstu radova i imaju certifikat ovlaštenog instituta.</t>
  </si>
  <si>
    <t>Proizvođač mora dati detaljna uputstva za ugradnju i potrebne pradradnje za ljepljenje, ljepilo ne smije izazvati nikakve štetne posljedice uslijed kemijskih utjecaja izazvanih pri dodiru podloge i obloge sa ljepilom.</t>
  </si>
  <si>
    <t>Čvrstoća na posmik na zidove mora biti min. 3 kg/cm2. Čvrstoća na pritisak na podove ne smije biti manja od čvrstoće podloge.</t>
  </si>
  <si>
    <t>Ako tekstom troškovnika nije drugačije traženo, reške između pločica na zidovima i podovima su širine 2 mm. Reške se zatvaraju pogodnim zaptivnim materijalom (kit raznih vrsta).</t>
  </si>
  <si>
    <t>Nakon dovršenja radova treba stijene i pod posve očistiti.</t>
  </si>
  <si>
    <t>U fazi ponude izvođač je dužan od svake vrste ponuđenih pločica predložiti 3 uzorka. Jedinična cijena treba sadržavati sav potreban osnovni i pomoćni materijal (distanceri) i pribor s masom za fugiranje, sav rad, sve transporte do gradilišta i na gradilištu, sredstva zaštite na radu i sve zakonom propisane troškove.</t>
  </si>
  <si>
    <t>U izvedbi je uključeno ispitivanje i čišćenje podloge, te izravnanje manjih neravnina, precizno izvođenje priključaka opločenja na ostale građevne dijelove, zaštita izrađenih površina i odstranjenje i odvoz svih otpadaka po dovršenju radova, kao i dobava uzoraka u svrhu odobrenja.</t>
  </si>
  <si>
    <t>Sve radove izvesti prema:</t>
  </si>
  <si>
    <t>HRN U.F2.011- Tehnički uvjeti za izvođenje keramičarskih radova</t>
  </si>
  <si>
    <t xml:space="preserve"> PODOPOLAGAČKI RADOVI</t>
  </si>
  <si>
    <t>HRN EN 1344:2004 – Glineni elementi za popločivanje -- Zahtjevi i ispitne metode (EN 1344:2002)
HRN EN 12057:2005 – Proizvodi od prirodnog kamena -- Modularne ploče -- Zahtjevi (EN 12057:2004)
HRN EN 12058:2005 – Proizvodi od prirodnog kamena -- Ploče za podove i stube -- Zahtjevi (EN 12058:2004)</t>
  </si>
  <si>
    <r>
      <t xml:space="preserve">HRN EN 13454-1:2006 – Veziva, sastavljena veziva i tvornički pripremljene mješavine za in situ podove (estrihe) na osnovi kalcijevog sulfata -- 1.dio: Definicije i zahtjevi (EN 13454-1:2004)
HRN EN 13748-1:2004/A1:2008 – Teraco pločice -- 1. dio: Teraco pločice za unutrašnju uporabu (EN 13748-1:2004/A1:2005)
HRN EN 13813:2003 – Materijal za in situ podove (estrihe) i in situ podovi (estrisi) -- Materijal za in situ podove (estrihe) -- Svojstva i zahtjevi (EN 13813:2002)
HRN EN 14016-1:2008 – Veziva za magnezitne estrihe -- Kaustični magnezij i magnezijev klorid -- 1. dio: Definicije i zahtjevi (EN 14016-1:2004)
HRN EN 14041:2008 – Elastične, tekstilne i laminatne podne obloge -- Bitne značajke (EN 14041:2004+AC:2006)
HRN EN 14342:2008 Wood flooring -- Characteristics, evaluation of conformity and marking (EN 14342:2005+A1:2008)
</t>
    </r>
    <r>
      <rPr>
        <sz val="10"/>
        <color indexed="10"/>
        <rFont val="Arial"/>
        <family val="2"/>
        <charset val="238"/>
      </rPr>
      <t/>
    </r>
  </si>
  <si>
    <t>Za izradu ponude i izvođenje podova ponuđač je dužan primjeniti relevantne propise i norme važeće u Republici Hrvatskoj, kao i međunarodno priznate norme za područja koja nisu pokrivena normama u Republici Hrvatskoj ili garantiraju viši nivo kvalitete od HRN.</t>
  </si>
  <si>
    <t>Sve podloge za polaganje podnih obloga potrebno je fino izravnati sa masom za izravnanje.</t>
  </si>
  <si>
    <t>Radovi na polaganju podova mogu se izvoditi nakon što su provjereni svi potrebni uvjeti, kao što su kvaliteta podloge, vlažnost, temperatura u prostorijama, kao i svi ostali uvjeti koje traži izvođač pojedinih vrsta radova.</t>
  </si>
  <si>
    <t>Obračun izvršenih radova izvršiti će se prema jedinici mjera u troškovniku, važećim normama, tehničkim uvjetima za pojedine vrste podova i izmjeri na licu mjesta.</t>
  </si>
  <si>
    <t>Jedinična cijena sadrži sav potreban materijal i pribor, sav potreban rad, transport do gradilišta i na gradilištu, kao i sva sredstva zaštite na radu radnika na gradilištu.</t>
  </si>
  <si>
    <t>Prije nabave podnih obloga na gradilište, potrebno je da izvođač radova predoči projektantu uzorke zbog odabiranja, te da provjeri sve potrebne količine.</t>
  </si>
  <si>
    <t>Soboslikarsko-ličilačke radove izvesti prema opisu u stavkama troškovnika po pravilima struke, primjenjivajući važeće propise i norme:</t>
  </si>
  <si>
    <t>HRN U.F1.012 Tehnički uvjeti za izvođenje ličilačkih radova,</t>
  </si>
  <si>
    <t>HRN U.F2.013 Tehnički uvjeti za izvođenje soboslikarskih radova,</t>
  </si>
  <si>
    <t>HRN U.F2.010 Tehnički uvjeti za izvođenje fasaderskih radova.</t>
  </si>
  <si>
    <t>Materijali moraju odgovarati propisima HRN-a za kvalitet. Materijali koji nisu obuhvaćeni HRN-om moraju biti najbolje kvalitete i imati certifikat.</t>
  </si>
  <si>
    <t>Nenormizirane izvedbe vanjskih slojeva na konstrukcijama trebaju biti ispitane od stručne institucije, a rad treba izvoditi po stručnom uputstvu.</t>
  </si>
  <si>
    <t>Ako je u stavci troškovnika uključena izvedba radova za koje je potrebna radna snaga posebne kvalifikacije (struke), treba ih povjeriti radnicima tražene struke.</t>
  </si>
  <si>
    <t>Ako je u opisu radova spomenut određen materijal, može se upotrijebiti i drugi dokazano istovjetan proizvod, ali uz odobrenje nadzornog inženjera. Ako u opisu radova nije izričito propisan određeni materijal, izvođač treba na vlastitu odgovornost izabrati i pripremiti materijal prema vrsti podloge, zahtjevanom izvođenju i uvjetima u kojima se podloga nalazi u vrijeme izvođenja i eksploatacionim uvjetima. Materijali se mogu primjenjivati samo na onim površinama za koje su prema svojim fizičko - kemijskim i mehaničkim osobinama namjenjeni. Ako se u garantnom roku pojave bilo kakve promjene na radovima zbog loše kvalitete materijala izvođač je o svom trošku dužan ukloniti nedostatke. Gotovi, tvornički proizvedeni materijali moraju se upotrijebiti prema uputstvima proizvođača. Posebno voditi računa o dozvoljenoj temperaturi zraka za primjenu pojedine vrste materijala. Premazivanje može biti ručno ili strojno, ako u opisu radova nije strojno izvođenje radova isključeno.</t>
  </si>
  <si>
    <t>Svi upotrebljeni materijali trebaju biti potvrđeni kvalitetom proizvođača. Izvođač radova dužan je prije početka rada pregledati sve površine na gradnji, te izvođaču građevinskih radova dati svoje eventualne primjedbe. Podloge na koje se nanose zidne i stropne boje (žbuke, beton) treba prethodno obraditi prema uputama proizvođača - provesti kompletne predradnje - čišćenje ploha, impregnaciju, gletanje, kitanje i brušenje. Kod prostora sa visinom većom od 4,0 m u cijenu uključiti potrebnu skelu.</t>
  </si>
  <si>
    <t>Zidove treba bijeliti i bojati kad su potpuno suhi, a prije bijeljenja treba izravnati sve eventualne rupe, pukotine ili krhotine.</t>
  </si>
  <si>
    <t>U jediničnoj cijeni kod bojanja odabranom bojom na novom zidu i stropu uključeno je:</t>
  </si>
  <si>
    <t>a) Priprema podloge</t>
  </si>
  <si>
    <t>čišćenje površine od prašine i eventualno potrebni popravci na podlozi</t>
  </si>
  <si>
    <t>b) Impregniranje</t>
  </si>
  <si>
    <t xml:space="preserve">produžne žbuke, vapnene žbuke i beton impregnirati odgovarajućom impregnacijom. Prije upotrebe treba impregnaciju razrijediti čistom vodom prema uputstvu proizvođača. </t>
  </si>
  <si>
    <t>c) Zaglađivanje</t>
  </si>
  <si>
    <t>za zaglađivanje valja primjeniti odgovarajući kit i nanijeti ga gladilicom u dva do tri tanja sloja. Nakon sušenja prebrusiti papirom broj 120 ili broj 150.</t>
  </si>
  <si>
    <t>d) Završno ličenje</t>
  </si>
  <si>
    <t>izvoditi u 3 naliča, materijal pripremiti prema uputstvu proizvođača. Nanositi krznenim valjkom ili četkom.</t>
  </si>
  <si>
    <t>Treba nastojati da se što više iskoriste već postavljene skele za građevinske radove.</t>
  </si>
  <si>
    <t>građevinsko-obrtničkih radova</t>
  </si>
  <si>
    <t>REKAPITULACIJA GRAĐEVINSKO OBRTNIČKIH RADOVA</t>
  </si>
  <si>
    <t>(UKUPNA REKAPITULACIJA)</t>
  </si>
  <si>
    <t>PROJEKTANT:</t>
  </si>
  <si>
    <t>NAPOMENA !</t>
  </si>
  <si>
    <t>v.r. g.r.</t>
  </si>
  <si>
    <t>01_TROŠKOVNIK</t>
  </si>
  <si>
    <t xml:space="preserve">kriterij za ocjenu jednakovrijednosti:  [tlačna čvrstoća &gt; 200 kN/m2, vlačna čvrstoća &gt; 250 N i poprečno izduženje &gt; 25%] </t>
  </si>
  <si>
    <t>Sva potrebna spojna sredstva za montažu stijena i obloga izvođač isporučuje prema katalogu. Nosiva metalna konstrukcija (profili, dužina i debljina lima) isporučuje se prema katalogu proizvođača.</t>
  </si>
  <si>
    <t>Norme za cementni estrih</t>
  </si>
  <si>
    <t>kriterij za ocjenu jednakovrijednosti:  [otporno na vlagu i vodenu paru; otporno na udarce, ogrebotine, otapala i kemikalije, reakcija na požar B-s2, d0]</t>
  </si>
  <si>
    <t>Prije izvođenja ETICS-a potrebno je provjeriti ravnost podloge prema normi HRN DIN 18202 te, u slučaju utvrđenih odstupanja, površine izravnati. Sve  vidljive  površine  toplinsko-izolacijskih  materijala,  uključujući  špalete  te  donje  i  gornje  završetke ETICS-a na kojima nisu ugrađeni prikladni profili, potrebno je obraditi armaturnim slojem i završnom žbukom  i  na  taj  način  zaštititi  od  izravnog  prodora  vlage,  oštećenja  koja  mogu  uzrokovati  insekti, glodavci i sl., kao i od izravnog plamena u slučaju požara.
Naknadno izravnavanje izvedenog ETICS sustava nije dozvoljeno.</t>
  </si>
  <si>
    <t>Spojevi, završeci i prodori
Sve spojeve (spoj s prozorima i vratima, spoj s krovom, spoj s kutijom za rolete), kao i sve prodore kroz ETICS  (gromobranske  instalacije,  žljebovi,  elektroinstalacije  i  dr.)  potrebno  je  izvesti  odgovarajućim priključnim profilima ili brtvenim trakama kako bi sustav bio zaštićen od prodora vlage.</t>
  </si>
  <si>
    <t xml:space="preserve">• ploče kamene vune vel. 100/50 cm, zadane debljine, ugraditi horizontalno s pomakom ploča na pola, i vezom na "češalj" na uglovima. Reške moraju biti tijesno sljubljene, eventualno ispunjene vunom (nikada ljepilom). </t>
  </si>
  <si>
    <t>Sav okov mora biti prvoklasan i imati dokaz statičke nosivosti za predviđena opterećenja vratnog krila.</t>
  </si>
  <si>
    <t>KRAJOBRAZNO UREĐENJE</t>
  </si>
  <si>
    <t>Dobava, dovoz, istovar plodne vrtne zemlje u sloju 20 cm , na površini koje su pripremljene do završnog sloja. Ručno razastiranje tla, te grubo planiranje za travnate površine. Potrebno je osigurati kvalitetnu vrtnu zemlju za radove izvođenja travnatih površina i za sadnju biljnih vrsta.</t>
  </si>
  <si>
    <t>Ukoliko je zemlja takve kvalitete osigurana na iskopu zemljanih radova troškovi će biti umanjeni za iskazanu količinu.</t>
  </si>
  <si>
    <t>Površinsko planiranje tla. Grubo i fino modeliranje i razastiranje plodne zemlje.</t>
  </si>
  <si>
    <t>Izvodi se površinsko oblikovanje tla s visinskim razlikama nivoa do +/- 3cm.</t>
  </si>
  <si>
    <t>RADOVI S BILJNIM MATERIJALOM</t>
  </si>
  <si>
    <t>KRAJOBRAZNO UREĐENJE UKUPNO</t>
  </si>
  <si>
    <t xml:space="preserve">VAŽNA NAPOMENA UZ TROŠKOVNIKE (odnosi se na sve troškovnike):
</t>
  </si>
  <si>
    <t>Odredba o normama
U dokumentaciji su navedena tehnička pravila koja opisuju predmet nabave pomoću hrvatskih odnosno europskih odnosno međunarodnih normi. Ponuditelj treba ponuditi predmet nabave u skladu s normama iz dokumentacije o nabavi ili jednakovrijednim normama. S toga za svaku navedenu normu navedenu pod dotičnom  normizacijskom sustavu dozvoljeno je nuditi jednakovrijednu normu, tehničko odobrenje odnosno uputu iz odgovarajuće hrvatske, europske ili međunarodne nomenklature.</t>
  </si>
  <si>
    <t xml:space="preserve">Plan uređenja privremenog i zajedničkog radilišta izvoditelj je dužan izraditi, dobiti na njega suglasnost Investitora i posjedovati ga na radilištu, te jedan primjerak predati investitoru. Pod uređenjem radilišta podrazumijeva se izvođenje fizičkih radnji kojima se osigurava zaštita radnika, prolaznika, prometa, izvedenih radova, građevine i okoline te određivanje svojih radnika za kontrolu i čuvanje, te ugovora sa Osiguravajućim zavodom za osiguranje osoba i imovine. Uređenje radilišta Izvoditelj je dužan izvesti u skladu s potrebama izvođenja u zadanom roku a prema terminskom planu radova. Troškove uređenja radilišta Izvoditelj treba ukalkulirati u cijenu izvođenja radova, osim ako nije uređeno ugovorom.
Izvoditelj radova u potpunosti i bez otklona prihvaća ograničenja organizacije izvođenja radova, u skladu sa zahtjevima i mogućnostima investitora.
</t>
  </si>
  <si>
    <t xml:space="preserve">za vodu: </t>
  </si>
  <si>
    <t>Izvođač je obavezan posjedovati potvrdu i/ili Izjavu o svojstvima, o kvaliteti svih ugrađenih materijala.</t>
  </si>
  <si>
    <t>AUTO PROMET SISAK</t>
  </si>
  <si>
    <t>GP-21-2024</t>
  </si>
  <si>
    <t>Sisak, Zagrebačka ulica 19, Novonastala čestica k.č.br. 698/18 koja nastaje od k.č.br. 698/19, dijela k.č.br. 698/18 i dijela k.č.br. 697, k.o. Sisak Stari</t>
  </si>
  <si>
    <t>Rekonstrukcija poslovno-prodajne zgrade (dogradnja i prenamjena u poslovnu pretežito uslužnu)</t>
  </si>
  <si>
    <t>Zagrebačka ulica 19</t>
  </si>
  <si>
    <t>44000 Sisak</t>
  </si>
  <si>
    <t>Sisak, lipanj 2024.</t>
  </si>
  <si>
    <t>Zagrebačka ulica19</t>
  </si>
  <si>
    <t>Sisak, lipanj 2024. god</t>
  </si>
  <si>
    <t>Goran Bobinac, dipl. ing. arh.</t>
  </si>
  <si>
    <t>OPĆI I TEHNIČKI UVJETI UGOVARANJA I IZVOĐENJA</t>
  </si>
  <si>
    <t xml:space="preserve">Izvoditelj će preuzeti punu odgovornost za čuvanje radova, materijala i postrojenja za ugradnju do datuma izdavanja Potvrde o preuzimanju građevine za cjelokupne radove, nakon čega će odgovornost za spomenuto čuvanje prijeći na Investitora. Ako nadzorni inženjer izda Potvrdu o preuzimanju za bilo koju grupu ili dio trajnih radova, izvoditelj će prestati biti odgovoran za čuvanje te grupe ili dijela od datuma izdavanja potvrde o preuzimanju, nakon čega će odgovorost za čuvanje te grupe ili dijela prijeći na Investitora (ukoliko Potvrdom o preuzimanju ne bude drugačije određeno).
Izvoditelj će preuzeti punu odgovornost za čuvanje svih nedovršenih radova i materijala i postrojenja za ugradnju, za koje se obavezao da će ih završiti za vrijeme razdoblja odgovornosti za nedostatke, sve dok tako nezavršeni radovi nisu dovršeni.
</t>
  </si>
  <si>
    <t xml:space="preserve">U obvezi izvoditelja je izrada projekta izvedenog stanja, kojim se definiraju i grafički prikazuju svi izvedeni i ugrađeni elementi a prema stvarnim izmjerama na licu mjesta u toku izvođenja i sve izmjene i dopune nastale u toku građenja u odnosu na glavni i izvedbeni projekt. Dokumentaciju ovjerava izvoditelj i predaje investitoru 10 dana prije investitorskog pregleda građevine. Izvoditelj je dužan izraditi i sve potrebne sheme instalacija koje moraju biti izložene uz upravljačka mjesta u građevini (npr. u stanici dizalice topline i sl.). Za sve važnije dijelove opreme i sklopove osigurati upute za ugradnju i upotrebu.
Prije tehničkog pregleda u građevinskom dnevniku, izvoditelj treba izraditi rekapitulaciju dokumenata – svjedočanstva, certifikata i izvještaja kojima se dokazuje sigurnost, funkcionalnost i kvaliteta ugrađenog materijala, uređaja i opreme.
</t>
  </si>
  <si>
    <t xml:space="preserve">Izvoditelj radova izvršit će, bez posebne naknade, sva čišćenja tokom radova, te po završetku pojedinih radova, kao i grubo i fino čišćenje po završetku svih radova bez posebne naknade, a neposredno prije konačne primopredaje.
Grubo čišćenje obuhvaća uklanjanje svog smeća, otpadaka, šute, suvišnog materijala, elemenata ili opreme kao i zaštitnih obloga i ambalaže iz građevine i sa gradilišta. Fino čišćenje obuhvaća uklanjanje preostalih otpadaka i prašine iz prostora građevine, pranje podova koji se smiju prati, prozora, keramičkih opločenja i sl. Po završetku radova teren i svi dijelovi građevine moraju biti ostavljeni u čistom i urednom stanju. Sav preostali materijal, opremu i privremene građevine kao i privremne podzemne građevine, izvoditelj treba ukloniti sa gradilišta a površine na kojima su bili postavljeni, dovede u stanje predviđeno projektom ili isplanira teren 30 cm niže od prijašnje kote, a sve bez prava na posebnu naplatu.
</t>
  </si>
  <si>
    <r>
      <t xml:space="preserve">Pripremni radovi tj. uređenje radilišta. Pod uređenjem radilišta podrazumijeva se izvođenje fizičkih radnji kojima se osigurava zaštita radnika, prolaznika, prometa, izvedenih radova, građevine i okoline. Uređenje radilišta za radove prema terminskom planu za iskope i za faze izvođenja građ.-obrtničkih radova. </t>
    </r>
    <r>
      <rPr>
        <b/>
        <sz val="10"/>
        <rFont val="Arial"/>
        <family val="2"/>
        <charset val="238"/>
      </rPr>
      <t>U svemu prema općim uvjetima</t>
    </r>
    <r>
      <rPr>
        <sz val="10"/>
        <rFont val="Arial"/>
        <family val="2"/>
        <charset val="238"/>
      </rPr>
      <t xml:space="preserve"> a naročito obuhvaćaju i:</t>
    </r>
  </si>
  <si>
    <t xml:space="preserve">Uključivo priprema radne površine za kretanje stroja za bušenje pilota, radnog platoa i komunikacijske površine. </t>
  </si>
  <si>
    <t xml:space="preserve">Izvoditelj je dužan izraditi projekt organizacije gradilišta i urediti gradilište najmanje u skladu s uvjetima propisanim Zakonom o gradnji (NN 125/19)., čl. 133-134 te u skladu sa ostalim važećim propisima i pravilnicima i uskladiti ga sa mogućnostima na građ. čestici, te ishoditi sve suglasnosti vezano za promet i komunalnu infrastrukturu.
</t>
  </si>
  <si>
    <t>• zbrinjavanje otpada sa gradilišta (Zakon o gospodarenju otpadom NN 84/21)</t>
  </si>
  <si>
    <t xml:space="preserve">~ vanjski zidovi novog dijela (sjever i jug), beton C 25/30 </t>
  </si>
  <si>
    <t xml:space="preserve">~ za objekt, beton C 25/30. </t>
  </si>
  <si>
    <r>
      <t xml:space="preserve">Armiranobetonska </t>
    </r>
    <r>
      <rPr>
        <b/>
        <sz val="10"/>
        <rFont val="Arial"/>
        <family val="2"/>
        <charset val="238"/>
      </rPr>
      <t>temeljna ploča</t>
    </r>
    <r>
      <rPr>
        <sz val="10"/>
        <rFont val="Arial"/>
        <family val="2"/>
        <charset val="238"/>
      </rPr>
      <t xml:space="preserve"> deb. 40cm u bočnoj oplati. Dobava betona, ugradba u konstrukciju i zaštita. Veliki presjek (više od 0,3 m3 betona na m2 ili m1), zadane marke betona. </t>
    </r>
  </si>
  <si>
    <t xml:space="preserve">~ vanjski zidovi novog dijela istok i zapad), beton C 25/30 </t>
  </si>
  <si>
    <t xml:space="preserve">~ unutarnji zidovi nosivi, beton C 25/30, d=20cm </t>
  </si>
  <si>
    <t>kriterij za ocjenu jednakovrijednosti: [tlak bubrenja &lt;=16bar, indeks bubrenja &gt;160%]</t>
  </si>
  <si>
    <r>
      <t>Dobava i postava</t>
    </r>
    <r>
      <rPr>
        <b/>
        <sz val="10"/>
        <rFont val="Arial"/>
        <family val="2"/>
        <charset val="238"/>
      </rPr>
      <t xml:space="preserve"> "waterstop trake" </t>
    </r>
    <r>
      <rPr>
        <sz val="10"/>
        <rFont val="Arial"/>
        <family val="2"/>
        <charset val="238"/>
      </rPr>
      <t>za dodatno brtvljenje spojeva konstruktivnih elemenata (spoj temeljne ploče i ab. zida). Waterstop traka na bazi akrilnog polimera ili natrij bentonita i butila. Ugradnja trake na spoju temeljne ploče i vanjskog AB zida, u oplatu, po osi (sredini) zida, u svemu po uputama proizvođača, uključivo sav potreban materijal za ugradnju. Uključivo brtve i na tem. pločama svih propadališta.</t>
    </r>
  </si>
  <si>
    <t>~ stupovi suterena i prizemlja, unutar zida, beton C 25/30</t>
  </si>
  <si>
    <t>~ grede-nadvoji iznad prolaza, beton C 25/30</t>
  </si>
  <si>
    <r>
      <t xml:space="preserve">Arm. bet. </t>
    </r>
    <r>
      <rPr>
        <b/>
        <sz val="10"/>
        <rFont val="Arial"/>
        <family val="2"/>
      </rPr>
      <t>stupovi</t>
    </r>
    <r>
      <rPr>
        <sz val="10"/>
        <rFont val="Arial"/>
        <family val="2"/>
      </rPr>
      <t xml:space="preserve">  vel. 25/30cm u trostranoj oplati od oplatnih elemenata, u suterenu i prizemlju starog rekonstruiranog dijela zgrade, do prolaza između novog i starog dijela zgrade, u zidu, beton C25/30. Dobava betona, ugradba u konstrukciju i zaštita, završna ravna, glatka izvedba.  Izvodi se kao stup okvirne arm. bet. konstrukcije.  Visina stupa suterena 2,26m, priz 2,18m.</t>
    </r>
  </si>
  <si>
    <r>
      <t>Armiranobetonski</t>
    </r>
    <r>
      <rPr>
        <b/>
        <sz val="10"/>
        <rFont val="Arial"/>
        <family val="2"/>
        <charset val="238"/>
      </rPr>
      <t xml:space="preserve"> unutarnji zidovi starog rekonstruiranog dijela zgrade </t>
    </r>
    <r>
      <rPr>
        <sz val="10"/>
        <rFont val="Arial"/>
        <family val="2"/>
        <charset val="238"/>
      </rPr>
      <t xml:space="preserve">deb. 25cm u dvostranoj oplati, beton C 25/30. Dobava betona, ugradba u konstrukciju i zaštita, završno ravna, glatka izvedba.  </t>
    </r>
  </si>
  <si>
    <r>
      <t xml:space="preserve">Armiranobetonske </t>
    </r>
    <r>
      <rPr>
        <b/>
        <sz val="10"/>
        <rFont val="Arial"/>
        <family val="2"/>
      </rPr>
      <t xml:space="preserve">grede-nadvoji </t>
    </r>
    <r>
      <rPr>
        <sz val="10"/>
        <rFont val="Arial"/>
        <family val="2"/>
      </rPr>
      <t xml:space="preserve">vel. 15/20cm i 48/20cm u trostranoj oplati od oplatnih elemenata, u prizemlju starog rekonstruiranog dijela zgrade, iznad prolaza između novog i starog dijela zgrade, u zidu,s dilatacijom (razmakom) između njih, beton C25/30. Dobava betona, ugradba u konstrukciju i zaštita, završna ravna, glatka izvedba. Visina podupiranja 2,18m. </t>
    </r>
  </si>
  <si>
    <t>~ torkret beton C 30/37</t>
  </si>
  <si>
    <r>
      <t xml:space="preserve">Armiranobetonske pune </t>
    </r>
    <r>
      <rPr>
        <b/>
        <sz val="10"/>
        <rFont val="Arial"/>
        <family val="2"/>
        <charset val="238"/>
      </rPr>
      <t>ravne ploče</t>
    </r>
    <r>
      <rPr>
        <sz val="10"/>
        <rFont val="Arial"/>
        <family val="2"/>
        <charset val="238"/>
      </rPr>
      <t xml:space="preserve"> novog dijela zgrade deb. 20cm u oplati od oplatnih elemenata. Dobava betona, ugradba u konstrukciju i zaštita, završna ravna, glatka izvedba. beton C 25/30. Visina podupiranja za konstruktivnu visinu 2,91m ili 3.30 (svijetla visina konstrukcije do ispod ploče 2,71m i 3,10m) , za podeste 0,93m, 3,51m i 3,30m.</t>
    </r>
  </si>
  <si>
    <r>
      <t>Armiranobetonske</t>
    </r>
    <r>
      <rPr>
        <b/>
        <sz val="10"/>
        <rFont val="Arial"/>
        <family val="2"/>
      </rPr>
      <t xml:space="preserve"> kose stubišne ploče i stube</t>
    </r>
    <r>
      <rPr>
        <sz val="10"/>
        <rFont val="Arial"/>
        <family val="2"/>
      </rPr>
      <t xml:space="preserve"> vanjskih pješačkih stubišta (južnog, sjevernog i sjeveroistočnog), kose ploče deb. 18 cm sa stepenicama 30/15,00 cm, 40/15,00 cm i 30/18,83 cm u oplati od oplatnih elemenata. Dobava betona, ugradba u konstrukciju i zaštita, završna ravna, glatka izvedba. Beton C 25/30.</t>
    </r>
  </si>
  <si>
    <r>
      <t>Armiranobetonske</t>
    </r>
    <r>
      <rPr>
        <b/>
        <sz val="10"/>
        <rFont val="Arial"/>
        <family val="2"/>
      </rPr>
      <t xml:space="preserve"> kose ploče</t>
    </r>
    <r>
      <rPr>
        <sz val="10"/>
        <rFont val="Arial"/>
        <family val="2"/>
      </rPr>
      <t xml:space="preserve"> vanjskih pješačkih rampi, kose ploče deb. 18 cm, u oplati od oplatnih elemenata. Dobava betona, ugradba u konstrukciju i zaštita, završna ravna, glatka izvedba. Beton C 25/30.</t>
    </r>
  </si>
  <si>
    <t>Tehnički propis za građevinske konstrukcije (NN 7/22)</t>
  </si>
  <si>
    <r>
      <rPr>
        <sz val="10"/>
        <rFont val="Arial"/>
        <family val="2"/>
      </rPr>
      <t>Beton mora zadovoljiti uvjete kakvoće u svježem i očvrslom stanju. 
U svježem stanju beton mora imati odlike da se može transportirati do mjesta ugradbe i u oplati bez pojave segregacije, i da prilikom zbijanja ispuni sav prostor u oplati i oko armature</t>
    </r>
    <r>
      <rPr>
        <b/>
        <sz val="10"/>
        <rFont val="Arial"/>
        <family val="2"/>
      </rPr>
      <t xml:space="preserve">.
</t>
    </r>
  </si>
  <si>
    <t>ARM. BET. RADOVI NA POTPORNIM ZIDOVIMA OKOLIŠA sjeverni postojeći potporni zidovi - popravci i dobetoniranje</t>
  </si>
  <si>
    <r>
      <t>Armiranobetonski</t>
    </r>
    <r>
      <rPr>
        <b/>
        <sz val="10"/>
        <rFont val="Arial"/>
        <family val="2"/>
        <charset val="238"/>
      </rPr>
      <t xml:space="preserve"> potporni zidovi</t>
    </r>
    <r>
      <rPr>
        <sz val="10"/>
        <rFont val="Arial"/>
        <family val="2"/>
        <charset val="238"/>
      </rPr>
      <t xml:space="preserve"> deb. 10cm (popravci postojećih potpornih zidova okoliša na sjevernoj strani rekonstruiranog dijela) u jednostranoj oplati, zadane marke betona. Dobava betona, ugradba u konstrukciju i zaštita, završno ravna, glatka izvedba. Visina postojećeg potpornog ziđa 0,5m do 1.00m.</t>
    </r>
  </si>
  <si>
    <t>~ 100 kg/m3 za temeljne ploče, zidove, stropne ploče, ploče i temeljne zidove rampi i stubišta</t>
  </si>
  <si>
    <t>~ za objekt, vanjske stepenice i rampe</t>
  </si>
  <si>
    <t>Nabava, ispravljanje čišćenje, siječenje i savijanje, doprema na gradilišni deponij, unutrašnji transport, postavljanje i vezivanje rebrastog čelika ili armaturnih mreža</t>
  </si>
  <si>
    <t>Klasa armaturnog čelika - armaturne šipke i mreže B 500 B, prema projektu konstrukcije.</t>
  </si>
  <si>
    <r>
      <rPr>
        <b/>
        <sz val="10"/>
        <rFont val="Arial"/>
        <family val="2"/>
      </rPr>
      <t>Donja betonska podloga</t>
    </r>
    <r>
      <rPr>
        <sz val="10"/>
        <rFont val="Arial"/>
        <family val="2"/>
      </rPr>
      <t xml:space="preserve"> deb. 10 cm na tamponu,
konstruktivno armirana (mreža fi 5 mm, okna 10/10 cm). Dobava betona, ugradba u konstrukciju i zaštita. Mali presjek (do 0,12 m3 betona na m2 ili  m1) beton C16/20. Gornju površinu zagladiti. Izvodi se kao podloga temeljne ploče na nasipu šljunka a ispod tem. ploče. </t>
    </r>
  </si>
  <si>
    <r>
      <t xml:space="preserve">• 841,71m3 x 100.00 kg = </t>
    </r>
    <r>
      <rPr>
        <b/>
        <sz val="10"/>
        <rFont val="Arial"/>
        <family val="2"/>
        <charset val="238"/>
      </rPr>
      <t>84,17 tona</t>
    </r>
  </si>
  <si>
    <t>Tehnički propis za građevinske konstrukcije NN 7/22</t>
  </si>
  <si>
    <r>
      <rPr>
        <b/>
        <sz val="10"/>
        <rFont val="Arial"/>
        <family val="2"/>
        <charset val="238"/>
      </rPr>
      <t>Oplata tem. ploče</t>
    </r>
    <r>
      <rPr>
        <sz val="10"/>
        <rFont val="Arial"/>
        <family val="2"/>
        <charset val="238"/>
      </rPr>
      <t xml:space="preserve"> deb. 40cm jednostrana, obodna od oplatnih elemenata. Izrada, postavljanje i skidanje. </t>
    </r>
  </si>
  <si>
    <r>
      <rPr>
        <b/>
        <sz val="10"/>
        <rFont val="Arial"/>
        <family val="2"/>
        <charset val="238"/>
      </rPr>
      <t>Oplata potpornih arm. bet. zidova</t>
    </r>
    <r>
      <rPr>
        <b/>
        <i/>
        <sz val="10"/>
        <rFont val="Arial"/>
        <family val="2"/>
        <charset val="238"/>
      </rPr>
      <t xml:space="preserve"> </t>
    </r>
    <r>
      <rPr>
        <sz val="10"/>
        <rFont val="Arial"/>
        <family val="2"/>
        <charset val="238"/>
      </rPr>
      <t xml:space="preserve">deb. 10cm jednostrana, obodna od oplatnih elemenata. Izrada, postavljanje i skidanje. </t>
    </r>
  </si>
  <si>
    <r>
      <t>Dobava, montaža i demontaža</t>
    </r>
    <r>
      <rPr>
        <b/>
        <sz val="10"/>
        <rFont val="Arial CE"/>
      </rPr>
      <t xml:space="preserve"> fasadne skele</t>
    </r>
    <r>
      <rPr>
        <sz val="10"/>
        <rFont val="Arial CE"/>
        <family val="2"/>
        <charset val="238"/>
      </rPr>
      <t xml:space="preserve"> izrađene od čeličnih cijevi, kompletno sa ukrutama i ogradnim rukohvatom. Hodna površina od tipskih sustavnih ploča ili mosnica d = 4,8 cm, položenih na sudar. Skelu je potrebno izvesti prema "Pravilniku o zaštiti na radu u građevinarstvu". </t>
    </r>
  </si>
  <si>
    <r>
      <rPr>
        <b/>
        <sz val="10"/>
        <rFont val="Arial"/>
        <family val="2"/>
        <charset val="238"/>
      </rPr>
      <t>Oplata stropnih ravnih ploča</t>
    </r>
    <r>
      <rPr>
        <sz val="10"/>
        <rFont val="Arial"/>
        <family val="2"/>
        <charset val="238"/>
      </rPr>
      <t>, velikoplošna, od oplatnih elemenata, ravne površine za ravnu, glatku izvedbu. Izrada, montaža i demontaža oplate. Deb. ploča 20 cm. Visina podupiranja za konstruktivnu visinu 2.91m ili 3.30m.</t>
    </r>
  </si>
  <si>
    <t>TESARSKI RADOVI-OPLATE NA POTPORNIM ZIDOVIMA OKOLIŠA (popravci postojećih potpornih zidova okoliša na sjevernoj strani rekonstruiranog dijela)</t>
  </si>
  <si>
    <t>~ stupovi suterena i prizemlja</t>
  </si>
  <si>
    <r>
      <t xml:space="preserve">Oplata vanjskih stepenica vel. 30/15cm, 40/15cm ili 30/18.83cm u izvedbi na nasipu, unutar oplate ab.temeljnih zidova tj. </t>
    </r>
    <r>
      <rPr>
        <b/>
        <sz val="10"/>
        <rFont val="Arial"/>
        <family val="2"/>
        <charset val="238"/>
      </rPr>
      <t>oplata čela stepenica</t>
    </r>
    <r>
      <rPr>
        <sz val="10"/>
        <rFont val="Arial"/>
        <family val="2"/>
        <charset val="238"/>
      </rPr>
      <t>.</t>
    </r>
  </si>
  <si>
    <r>
      <rPr>
        <b/>
        <sz val="10"/>
        <rFont val="Arial"/>
        <family val="2"/>
      </rPr>
      <t>Oplata krovnog vijenca</t>
    </r>
    <r>
      <rPr>
        <sz val="10"/>
        <rFont val="Arial"/>
        <family val="2"/>
      </rPr>
      <t xml:space="preserve"> novog dograđenog dijela vel.25/72cm i 20/72cm po obodu, </t>
    </r>
    <r>
      <rPr>
        <b/>
        <sz val="10"/>
        <rFont val="Arial"/>
        <family val="2"/>
      </rPr>
      <t>dvostrana</t>
    </r>
    <r>
      <rPr>
        <sz val="10"/>
        <rFont val="Arial"/>
        <family val="2"/>
      </rPr>
      <t>, od oplatnih elemenata za ravnu glatku izvedbu. Izrada, postavljanje i skidanje.</t>
    </r>
  </si>
  <si>
    <r>
      <rPr>
        <b/>
        <sz val="10"/>
        <rFont val="Arial"/>
        <family val="2"/>
        <charset val="238"/>
      </rPr>
      <t>Oplata stupova</t>
    </r>
    <r>
      <rPr>
        <b/>
        <sz val="10"/>
        <rFont val="Arial"/>
        <family val="2"/>
      </rPr>
      <t xml:space="preserve"> trostrana</t>
    </r>
    <r>
      <rPr>
        <sz val="10"/>
        <rFont val="Arial"/>
        <family val="2"/>
        <charset val="238"/>
      </rPr>
      <t xml:space="preserve"> od oplatnih elemenata ravne površine za ravnu, glatku izvedbu. Izrada, postavljanje i skidanje. Oplata stupova okvirne arm. bet. konstrukcije. Stupovi vel. 25/30cm. Visina za konstruktivnu visinu etaža suterena 2,51m, sut i priz 3,43m rekonstruiranog dijela zgrade.</t>
    </r>
  </si>
  <si>
    <t>~ zidovi dograđenog dijela zgrade, obodni i unutarnji</t>
  </si>
  <si>
    <r>
      <rPr>
        <b/>
        <sz val="10"/>
        <rFont val="Arial"/>
        <family val="2"/>
      </rPr>
      <t>Oplata</t>
    </r>
    <r>
      <rPr>
        <sz val="10"/>
        <rFont val="Arial"/>
        <family val="2"/>
      </rPr>
      <t xml:space="preserve"> </t>
    </r>
    <r>
      <rPr>
        <b/>
        <sz val="10"/>
        <rFont val="Arial"/>
        <family val="2"/>
      </rPr>
      <t>arm. bet. zidova</t>
    </r>
    <r>
      <rPr>
        <sz val="10"/>
        <rFont val="Arial"/>
        <family val="2"/>
      </rPr>
      <t xml:space="preserve"> postojećeg rekonstruiranog dijela zgrade,</t>
    </r>
    <r>
      <rPr>
        <b/>
        <sz val="10"/>
        <rFont val="Arial"/>
        <family val="2"/>
      </rPr>
      <t xml:space="preserve"> dvostrana</t>
    </r>
    <r>
      <rPr>
        <sz val="10"/>
        <rFont val="Arial"/>
        <family val="2"/>
      </rPr>
      <t>, velikoplošna od oplatnih elemenata, za ravnu glatku izvedbu. Izrada, postavljanje i skidanje. Unutarnji zidovi deb. 25cm. Visina ziđa za konstruktivnu visinu etaža suterena 2,51m, prizemlja 3,43m.</t>
    </r>
  </si>
  <si>
    <r>
      <rPr>
        <b/>
        <sz val="10"/>
        <rFont val="Arial"/>
        <family val="2"/>
      </rPr>
      <t>Oplata</t>
    </r>
    <r>
      <rPr>
        <sz val="10"/>
        <rFont val="Arial"/>
        <family val="2"/>
      </rPr>
      <t xml:space="preserve"> </t>
    </r>
    <r>
      <rPr>
        <b/>
        <sz val="10"/>
        <rFont val="Arial"/>
        <family val="2"/>
      </rPr>
      <t>arm. bet. zidova</t>
    </r>
    <r>
      <rPr>
        <sz val="10"/>
        <rFont val="Arial"/>
        <family val="2"/>
      </rPr>
      <t xml:space="preserve"> novog dograđenog dijela zgrade,</t>
    </r>
    <r>
      <rPr>
        <b/>
        <sz val="10"/>
        <rFont val="Arial"/>
        <family val="2"/>
      </rPr>
      <t xml:space="preserve"> dvostrana</t>
    </r>
    <r>
      <rPr>
        <sz val="10"/>
        <rFont val="Arial"/>
        <family val="2"/>
      </rPr>
      <t>, velikoplošna od oplatnih elemenata, za ravnu glatku izvedbu. Izrada, postavljanje i skidanje. Obodni i unutarnji zidovi deb. 25cm i 20cm. Visina ziđa za konstruktivnu visinu etaža suterena 2,91m, prizemlja i katova 3,30m, zidovi propadališta dubina 0.80m ispod kote suterena.</t>
    </r>
  </si>
  <si>
    <t>~ zidovi rekonstruiranog dijela zgrade, unutarnji</t>
  </si>
  <si>
    <t>~ greda iznad prolaza između novog i rekonstruiranog dijela</t>
  </si>
  <si>
    <r>
      <rPr>
        <b/>
        <sz val="10"/>
        <rFont val="Arial"/>
        <family val="2"/>
        <charset val="238"/>
      </rPr>
      <t>Oplata greda</t>
    </r>
    <r>
      <rPr>
        <sz val="10"/>
        <rFont val="Arial"/>
        <family val="2"/>
        <charset val="238"/>
      </rPr>
      <t xml:space="preserve">, trostrana, okvirne arm. bet. konstrukcije od oplatnih elemenata. Za ravnu, glatku izvedbu. Izrada, postavljanje i skidanje. grede vel. 30/120cm, 80/75cm, i 50/60cm.  Visina podupiranja za konstruktivnu visinu etaža suterena 4,60m, priz i kata 4,50m. </t>
    </r>
  </si>
  <si>
    <t>Krovovi, podovi i zidovi po razvijenoj površini u m2 gotove izvedene i u skladu sa zahtjevima Projekta funkcionalne površine.
Opšavi vijenaca, sokla (podnožja), zaštite izolacije i sl. određene razvijene širine izolacijske trake (r.š.) po dužini u m1</t>
  </si>
  <si>
    <t>Područje primjene - ravni krovovi. Priprema podloge i ugradnja u svemu prema uputama proizvođača.</t>
  </si>
  <si>
    <t xml:space="preserve">Otpornost na vatru: B krov
</t>
  </si>
  <si>
    <t xml:space="preserve">Otpornost na statičko opterećenje: &gt;= 20kg
</t>
  </si>
  <si>
    <t xml:space="preserve">Otpornost na UV izloženost: &gt; 5000 sati
</t>
  </si>
  <si>
    <t xml:space="preserve">Otpornost na istezanje: &gt; 950 N/mm
</t>
  </si>
  <si>
    <t xml:space="preserve">Vodonepropusnost: Zadovoljava EN 1928
</t>
  </si>
  <si>
    <t xml:space="preserve">Vodonepropusnost: 60kPa EN 1928
</t>
  </si>
  <si>
    <t>Područje primjene - ravni temelji, pod na tlu. Priprema podloge i ugradnja u svemu prema uputama proizvođača.</t>
  </si>
  <si>
    <t xml:space="preserve">Fleksibilnost na niskoj temperaturi: -5°C
</t>
  </si>
  <si>
    <t xml:space="preserve">Vlačna čvrstoća: uzdužno &gt;= 300N/50mm, poprečno &gt;=200N/50mm
</t>
  </si>
  <si>
    <t xml:space="preserve">Otpornost na trganje:uzdužno &gt;= 50N, poprečno &gt;=50N
</t>
  </si>
  <si>
    <r>
      <rPr>
        <i/>
        <sz val="10"/>
        <rFont val="Arial"/>
        <family val="2"/>
      </rPr>
      <t>kriterij za ocjenu jednakovrijednosti:  Otpornost na statičko opterećenje: &gt;= 20kg; Otpornost na UV izloženost: &gt; 5000 sati;</t>
    </r>
    <r>
      <rPr>
        <i/>
        <sz val="10"/>
        <color rgb="FFFF0000"/>
        <rFont val="Arial"/>
        <family val="2"/>
        <charset val="238"/>
      </rPr>
      <t xml:space="preserve"> </t>
    </r>
    <r>
      <rPr>
        <i/>
        <sz val="10"/>
        <rFont val="Arial"/>
        <family val="2"/>
      </rPr>
      <t>Otpornost na istezanje: &gt; 950 N/mm; Vodonepropusnost: Zadovoljava EN 1928</t>
    </r>
  </si>
  <si>
    <t>Izvodi se na ravnom krovu na bet. podlozi, u svemu prema uputama proizvođača</t>
  </si>
  <si>
    <r>
      <rPr>
        <b/>
        <sz val="10"/>
        <rFont val="Arial"/>
        <family val="2"/>
      </rPr>
      <t>Oplata krovnog vijenca</t>
    </r>
    <r>
      <rPr>
        <sz val="10"/>
        <rFont val="Arial"/>
        <family val="2"/>
      </rPr>
      <t xml:space="preserve"> horizontalnog serklaža postojećeg rekonstruiranog dijela vel.30/50cm po obodu, </t>
    </r>
    <r>
      <rPr>
        <b/>
        <sz val="10"/>
        <rFont val="Arial"/>
        <family val="2"/>
      </rPr>
      <t>dvostrana</t>
    </r>
    <r>
      <rPr>
        <sz val="10"/>
        <rFont val="Arial"/>
        <family val="2"/>
      </rPr>
      <t>, od oplatnih elemenata za ravnu glatku izvedbu. Izrada, postavljanje i skidanje.</t>
    </r>
  </si>
  <si>
    <r>
      <t xml:space="preserve">Armiranobetonski </t>
    </r>
    <r>
      <rPr>
        <b/>
        <sz val="10"/>
        <rFont val="Arial"/>
        <family val="2"/>
      </rPr>
      <t>torkret</t>
    </r>
    <r>
      <rPr>
        <sz val="10"/>
        <rFont val="Arial"/>
        <family val="2"/>
      </rPr>
      <t xml:space="preserve"> zidovi d=10cm, u suterenu i prizemlju starog rekonstruiranog dijela zgrade, beton C30/37. Dobava betona, ugradba u konstrukciju i zaštita, završna ravna, glatka izvedba. </t>
    </r>
  </si>
  <si>
    <r>
      <t>Armiranobetonski</t>
    </r>
    <r>
      <rPr>
        <b/>
        <sz val="10"/>
        <rFont val="Arial"/>
        <family val="2"/>
        <charset val="238"/>
      </rPr>
      <t xml:space="preserve"> krovni vijenac starog rekonstruiranog dijela zgrade </t>
    </r>
    <r>
      <rPr>
        <sz val="10"/>
        <rFont val="Arial"/>
        <family val="2"/>
        <charset val="238"/>
      </rPr>
      <t xml:space="preserve">d=30/50cm u dvostranoj oplati, beton C 25/30. Dobava betona, ugradba u konstrukciju i zaštita, završno ravna, glatka izvedba.  </t>
    </r>
  </si>
  <si>
    <t>• kod kalkulacije se uzimaju u obzir visine zidova i zidnih obloga do 3,10 m</t>
  </si>
  <si>
    <t>• izrezivanje otvora vel. do 0.5m2, prilagodba potkonstrukcije za ugradnju opreme (zidne rešetke, rasvjeta ili revizijskih vrata prema zahtjevima projekta) uračunato u cijenu, ako nisu opisani kao posebna stavka</t>
  </si>
  <si>
    <t>Tehnički propisi za građevinske konstrukcije (NN 7/22)</t>
  </si>
  <si>
    <t>Opći uvjeti izvođenja nadopunjuju se ovim tehničkim uvjetima, a u slučaju neusklađenosti opisa primjenjuje se sve ono propisano ovim tehničkim uvjetima. Zidarski radovi izvodit će se pridržavajući se i primjenjujući važeće propise i norme. Ovi se propisi primjenjuju i na ziđe u građevinama koje nije sastavni dio zidane konstrukcije (pregradno ziđe, parapeti i sl.).</t>
  </si>
  <si>
    <t>Površine veće od 40.00 m2 moraju se podijeliti dilatacijskim fugama isto kao i površine čije su stranice veće od 8.00m. Omjer stranica ne smije preći a/b &lt; 1/2.</t>
  </si>
  <si>
    <r>
      <t xml:space="preserve">Tehnički propis o racionalnoj upotrebi energije i toplinskoj zaštiti u zgradama NN 102/20 </t>
    </r>
    <r>
      <rPr>
        <b/>
        <sz val="10"/>
        <rFont val="Arial"/>
        <family val="2"/>
      </rPr>
      <t>(TPRUETZZ)</t>
    </r>
    <r>
      <rPr>
        <sz val="10"/>
        <rFont val="Arial"/>
        <family val="2"/>
      </rPr>
      <t xml:space="preserve"> </t>
    </r>
  </si>
  <si>
    <r>
      <rPr>
        <b/>
        <sz val="10"/>
        <rFont val="Arial"/>
        <family val="2"/>
      </rPr>
      <t>Elastificirani ekspandirani polistiren za prigušenje udarnog zvuka u podovima</t>
    </r>
    <r>
      <rPr>
        <sz val="10"/>
        <rFont val="Arial"/>
        <family val="2"/>
      </rPr>
      <t xml:space="preserve"> ima zadaću prigušenja udarnog zvuka te osiguranja propisane minimalne vrijednosti toplinske izolacije. Ploče ekspandiranog polistirena koje će se ugrađivati moraju zadovoljiti zahtjeve iz točke 4.2 norme HRN EN 13163:2002 i slijedeće zahtjeve:</t>
    </r>
  </si>
  <si>
    <t>Sve spojeve profila s obodnim konstrukcijama izvesti brtvljenjem s brtvenim kitom.</t>
  </si>
  <si>
    <t>kriterij za ocjenu jednakovrijednosti:  Otpornost na statičko opterećenje: &gt;= 20kg; Otpornost na UV izloženost: &gt; 5000 sati; Otpornost na istezanje: &gt; 950 N/mm; Vodonepropusnost: Zadovoljava EN 1928</t>
  </si>
  <si>
    <t>~ za završetak niske atike po obodu krova (r.š. 80cm)</t>
  </si>
  <si>
    <t xml:space="preserve">Dobava i postava vertikalne hidroizolacije na detalju (krovni vijenac, zadane r.š., min. visine 45 cm), sa zadanom hidroizolacijskom membranom UV stabilna, debljine d= 2,0 mm. Membrana se vari ili lijepi za horizontalnu membranu i lijepi se na podlogu zida sa kontaktnim ljepilom, ili se mehanički pričvršćuje prema uputama proizvođača materijala. Izvodi se na ravnom masivnom krovu. </t>
  </si>
  <si>
    <t>Ako je opis koje stavke izvođaču nejasan treba pravovremeno, prije predaje ponude, tražiti objašnjenje od projektanta. Eventualne izmjene materijala te načina izvedbe tokom gradnje moraju se izvršiti isključivo pismenim dogovorom s projektantom i nadzornim inženjerom. Sve više radnje koje neće biti na taj način utvrđivane, neće se priznati u obračun.</t>
  </si>
  <si>
    <t>MONTAŽNE PREGRADE OD COMPACT PLOČA</t>
  </si>
  <si>
    <r>
      <t>Dobava i ugradnja montažnih pregradnih stijena kabina - svi sanitarni prostori. Kabine sastavljene od prednje linije koju čine dovratnici (uske ploče) s jednokrilnim zaokretnim vratima i bočnih međustijena. Stijene od</t>
    </r>
    <r>
      <rPr>
        <b/>
        <sz val="10"/>
        <rFont val="Arial"/>
        <family val="2"/>
      </rPr>
      <t xml:space="preserve"> industrijske "compact" ploče</t>
    </r>
    <r>
      <rPr>
        <sz val="10"/>
        <rFont val="Arial"/>
        <family val="2"/>
      </rPr>
      <t xml:space="preserve"> deb.13 mm. Rubovi ploča skošeni ili polukružno završni rubovi. Završna obrada ploča poliuretanskom bojom po izboru projektanta.              </t>
    </r>
  </si>
  <si>
    <t>Izvode se kao jednoredne ili grupne kabine za WC-e i  pisoare zadanih veličina. U svemu  prema shemi i uputi proizvođača. Uključivo sav potreban rad i materijal.</t>
  </si>
  <si>
    <t xml:space="preserve">Kabine vis. 220 cm uključivo nogice inox vis. 15 cm. Svi spojevi međustijena i dovratnika sa zidovima, te međustijena s dovratnicima, izvedeni su sa po tri kutne inox spojnice. Prednja linija ojačana je i ukrućena gornjim horizontalnim  AL. profilom učvršćena za dovratnike inox spojnicama, a za bočne međustijene ili zidove spojnim elementom. Dosjed dovratnika i vrata izvesti "Z" preklopom s ugrađenim silikonskim suzama za bešumno zatvaranje vrata.                                                 </t>
  </si>
  <si>
    <t xml:space="preserve">Izrada cem. estriha  zadane debljine, najkrupnijeg zrna agregata 8 mm (frakcija 4-8 mm 30%), kao sastavni dio plivajućeg poda. Armirati u sredini visine zavarenom mrežom profila 5 mm s oknima max. 10/10 cm ili upotrebom-ugradnjom polipropilenskih mikrovlakana. Završno zaravnato "Al" letvom fino zaglađeno.Površine veće od 40 m2 obraditi izvedbom usječenih reški šir. 3-5 mm (do polovice visine) sa odnosom stranica nepodjeljenog polja max. 1:2,5.      </t>
  </si>
  <si>
    <t>Izvodi se u plivajućim podovima. Uključivo PE foliju ispod estriha.</t>
  </si>
  <si>
    <t>Dobava i postava hidroizolacije poda sanitarnih čvorova, kupaonica i kuhinje od jednokomponentnog elastičnog hidroizolacijskog premaza. Premaz se izvodi u dva sloja ( 0,6 kg/m2 po sloju) vunenim valjkom s dlakom srednje dužine. Ukupna suha debljina sloja barem 0,5 mm. Sve spojeve zidova i ploča izvesti sa dodatnim ojačanjem s PP trakom - mrežicom sa PVC ojačanjem za veće pomake. Traka se ugrađuje u svježe nanijet prvi sloj i potpuno prekriva drugim slojem nakon što je prvi stvrdnuo.</t>
  </si>
  <si>
    <t xml:space="preserve">kriterij za ocjenu jednakovrijednosti:  [vlačna svojstva uzdužno / poprečno ≥ 300/200+/- 10% N/50mm, istezljivost (kod prekida) uzdužno / poprečno  ≥ 2%/50mm; otpornost na statičko opterećenje ≥ 15kg; otpornost na trganje ≥ 100/100N; vodonepropusnost 60kPa] </t>
  </si>
  <si>
    <r>
      <t>Dobava i postava drenažne -</t>
    </r>
    <r>
      <rPr>
        <b/>
        <sz val="10"/>
        <rFont val="Arial"/>
        <family val="2"/>
        <charset val="238"/>
      </rPr>
      <t xml:space="preserve"> čepaste HDPE folije-trake</t>
    </r>
    <r>
      <rPr>
        <sz val="10"/>
        <rFont val="Arial"/>
        <family val="2"/>
        <charset val="238"/>
      </rPr>
      <t xml:space="preserve">  (polietilen visoke gustoće), deb. 0.6mm. Ugradnja na ukopane stranice temeljne ploče i zidove suterena vertikalno, točkasto fiksirano, preklopi 10cm, ispupčenja okrenuta prema top. izolaciji. Folija se pričvršćuje na podlogu bez bušenja hidroizolacijske membrane. Radove izvesti prema uputama proizvođača materijala. Izvodi se na sloju XPS-a (na zidovima građevine) uključivo oblaganje ruba tem. ploče ili na ver. hidroizolaciji (na zidovima vanjskih stepenica i kolne rampe). </t>
    </r>
  </si>
  <si>
    <t>Uključivo polaganje "pe" folije deb. 0,2 mm na polistiren s preklopom spojeva 20 cm, podignuti uz vertikalne rubove do iznad estriha.</t>
  </si>
  <si>
    <r>
      <t>Gornji sloj od mekoelastičnog sloja elastificiranog polistirena</t>
    </r>
    <r>
      <rPr>
        <b/>
        <sz val="10"/>
        <rFont val="Arial"/>
        <family val="2"/>
        <charset val="238"/>
      </rPr>
      <t xml:space="preserve"> EPS-T</t>
    </r>
    <r>
      <rPr>
        <sz val="10"/>
        <rFont val="Arial"/>
        <family val="2"/>
        <charset val="238"/>
      </rPr>
      <t xml:space="preserve"> za međukatne konstrukcije, slobodno položeno, tijesno sljubljenih fuga, deb. 22/20 mm s preklopima izmaknutim za pola. Ploče za prigušenje udarnog zvuka,12kg/m3. Veličina ploča 50/100 cm. Uzduž zidova, rubno postaviti traku deb. 10 mm za 2 cm višu od predviđene razine estriha. </t>
    </r>
  </si>
  <si>
    <t>TOPLINSKE ZIDNE UNUTARNJE I KROVNE IZOLACIJE</t>
  </si>
  <si>
    <r>
      <rPr>
        <sz val="10"/>
        <rFont val="Arial"/>
        <family val="2"/>
        <charset val="238"/>
      </rPr>
      <t>•</t>
    </r>
    <r>
      <rPr>
        <sz val="10"/>
        <rFont val="Arial CE"/>
        <family val="2"/>
        <charset val="238"/>
      </rPr>
      <t xml:space="preserve"> polimer cem. mort u dva sloja, prvi sloj se nanosi čel. nazubljenom gladilicom u deb. 2-3 mm i utiskuje alkalno otporna staklena mrežica vel. okna 5 mm, s preklopima 10 cm, drugi sloj se nanosi  u deb. 2-3 mm</t>
    </r>
  </si>
  <si>
    <r>
      <rPr>
        <sz val="10"/>
        <rFont val="Arial"/>
        <family val="2"/>
        <charset val="238"/>
      </rPr>
      <t>~</t>
    </r>
    <r>
      <rPr>
        <sz val="10"/>
        <rFont val="Arial CE"/>
        <family val="2"/>
        <charset val="238"/>
      </rPr>
      <t xml:space="preserve"> toplinski kontaktni sustav (reakciju na požar</t>
    </r>
    <r>
      <rPr>
        <b/>
        <sz val="10"/>
        <rFont val="Arial CE"/>
      </rPr>
      <t xml:space="preserve"> B-d1</t>
    </r>
    <r>
      <rPr>
        <sz val="10"/>
        <rFont val="Arial CE"/>
        <family val="2"/>
        <charset val="238"/>
      </rPr>
      <t xml:space="preserve"> ili bolje)</t>
    </r>
  </si>
  <si>
    <r>
      <t xml:space="preserve">Izvođenje toplinskog </t>
    </r>
    <r>
      <rPr>
        <b/>
        <sz val="10"/>
        <rFont val="Arial"/>
        <family val="2"/>
      </rPr>
      <t>kontaktnog  fasadnog sustava zidova suterena</t>
    </r>
    <r>
      <rPr>
        <sz val="10"/>
        <rFont val="Arial"/>
        <family val="2"/>
      </rPr>
      <t xml:space="preserve"> na vertikalnu hidroizolaciju arm. bet. zidova u zemlji i 20 i 36 cm iznad zemlje, prema projektu. Izvodi se na sloju vertikalne hidroizolacije bitumenske trake.</t>
    </r>
  </si>
  <si>
    <r>
      <t xml:space="preserve">Izvođenje toplinskog </t>
    </r>
    <r>
      <rPr>
        <b/>
        <sz val="10"/>
        <rFont val="Arial"/>
        <family val="2"/>
        <charset val="238"/>
      </rPr>
      <t>kontaktnog  fasadnog sustava ugradnjom ploča kamene vune</t>
    </r>
    <r>
      <rPr>
        <sz val="10"/>
        <rFont val="Arial"/>
        <family val="2"/>
      </rPr>
      <t xml:space="preserve"> vel. 100/50 cm zadane debljine. Početni sloj ploča postaviti na prethodno ugrađen sokl profil, a kasnije redove s pomakom od pola ploče. Uključivo i ugradnju kutnih profila oko otvora i na uglovima ljepljenjem s pol. cem. mortom za ljepljenje ploča. Izvodi se na podlozi od betona u zadanim slojevima: 
</t>
    </r>
  </si>
  <si>
    <t>Izvodi se na svim pročeljima zgrade ili kao podgled trijema ispred ulaza iznad otvorenog prostora.</t>
  </si>
  <si>
    <t xml:space="preserve">~ troškovi popravka nastalih zbog nepažljive izvedbe ili pričinjena štete drugim izvođačima </t>
  </si>
  <si>
    <t xml:space="preserve">U zidarskim radovima su uvrštene stavke radova za podne konstrukcije, toplinske izolacije podova, unutarnjih zidova i krovova, koje se odnose na unutarnje i vanjske konstrukcije.  </t>
  </si>
  <si>
    <t>Sve stavke radova na pročelju, fasadni sustavi s toplinskim izolacijama pročelja i završne fasadne obloge su uvrštene u fasaderskim radovima.</t>
  </si>
  <si>
    <t>Obračun se vrši po m2 stvarno izvedene površine uz odbijanje svih otvora i uključenu obradu špaleta. U cijenu svake stavke uključeno je:</t>
  </si>
  <si>
    <r>
      <rPr>
        <sz val="10"/>
        <rFont val="Arial"/>
        <family val="2"/>
        <charset val="238"/>
      </rPr>
      <t>~</t>
    </r>
    <r>
      <rPr>
        <sz val="10"/>
        <rFont val="Arial CE"/>
        <family val="2"/>
        <charset val="238"/>
      </rPr>
      <t xml:space="preserve"> toplinski kontaktni sustav (reakciju na požar</t>
    </r>
    <r>
      <rPr>
        <b/>
        <sz val="10"/>
        <rFont val="Arial CE"/>
      </rPr>
      <t xml:space="preserve"> </t>
    </r>
    <r>
      <rPr>
        <sz val="10"/>
        <rFont val="Arial CE"/>
      </rPr>
      <t>B-d1</t>
    </r>
    <r>
      <rPr>
        <sz val="10"/>
        <rFont val="Arial CE"/>
        <family val="2"/>
        <charset val="238"/>
      </rPr>
      <t xml:space="preserve"> ili bolje)</t>
    </r>
  </si>
  <si>
    <r>
      <t xml:space="preserve">~ </t>
    </r>
    <r>
      <rPr>
        <b/>
        <sz val="10"/>
        <rFont val="Arial CE"/>
      </rPr>
      <t xml:space="preserve">za fasade i podglede </t>
    </r>
    <r>
      <rPr>
        <sz val="10"/>
        <rFont val="Arial CE"/>
      </rPr>
      <t>(uključivo u stavku)</t>
    </r>
    <r>
      <rPr>
        <b/>
        <sz val="10"/>
        <rFont val="Arial CE"/>
      </rPr>
      <t>_</t>
    </r>
    <r>
      <rPr>
        <sz val="10"/>
        <rFont val="Arial CE"/>
        <family val="2"/>
        <charset val="238"/>
      </rPr>
      <t>žbukanje završnom Silikatnom žbukom, fasadnom vodoodbojnom, tankoslojnom žbukom u deb. 2-3 mm, ručno. Struktura i boja po odabiru projektanta. Uključivo obrada špaleta.</t>
    </r>
  </si>
  <si>
    <t>kriterij za ocjenu jednakovrijednosti: [Paropropusnost µ: 1,1; Koeficijent toplinske provodljivosti λD (WmK): &lt;=0,036; Klasa gorivosti: A1]</t>
  </si>
  <si>
    <r>
      <t>Izvođenje toplinske izolacije unutarnjih zidova</t>
    </r>
    <r>
      <rPr>
        <b/>
        <sz val="10"/>
        <rFont val="Arial"/>
        <family val="2"/>
        <charset val="238"/>
      </rPr>
      <t xml:space="preserve"> ugradnjom ploča kamene vune</t>
    </r>
    <r>
      <rPr>
        <sz val="10"/>
        <rFont val="Arial"/>
        <family val="2"/>
      </rPr>
      <t xml:space="preserve"> vel. 100/50 cm zadane debljine. Uključivo i ugradnju kutnih profila oko otvora i na uglovima ljepljenjem s pol. cem. mortom za ljepljenje ploča. Izvodi se na podlozi od betona u zadanim slojevima: 
</t>
    </r>
  </si>
  <si>
    <t xml:space="preserve">• ploče kamene vune vel. 100/50 cm, zadane debljine, ugraditi horizontalno s pomakom ploča na pola. Reške moraju biti tijesno sljubljene, eventualno ispunjene vunom (nikada ljepilom). </t>
  </si>
  <si>
    <t>• na sve kuteve oko špaleta otvora postavljaju kutni profili s armaturnom mrežicom. Oko svakog otvora dodatno se postavljaju manje trake armaturne mrežice po dijagonali veličine oko 20x40 cm.</t>
  </si>
  <si>
    <r>
      <t xml:space="preserve">~ </t>
    </r>
    <r>
      <rPr>
        <b/>
        <sz val="10"/>
        <rFont val="Arial CE"/>
      </rPr>
      <t>za unutarnji zid suterena postojećeg dijela zgrade</t>
    </r>
    <r>
      <rPr>
        <sz val="10"/>
        <rFont val="Arial CE"/>
        <family val="2"/>
        <charset val="238"/>
      </rPr>
      <t>. Uključivo obrada špaleta.</t>
    </r>
  </si>
  <si>
    <t>OBLOGE INSTALACIJSKIH VERTIKALA</t>
  </si>
  <si>
    <t>1.2  Izvođač se obavezuje izraditi i ugraditi aluminijsku/čeličnu bravariju i ostale otvore do potpune gotovosti, u već provjerenim i certifiranim sustavima, te se od njega očekuju visoka kvaliteta izvedbe.Prije početka radova izvođač je dužan izvršiti pripremne radnje propisane Zakonom o gradnji (NN br.125/19) i Zakonom zaštite na radu (NN 71/14...154/14, 94/18, 96/18). Sva tehnička rješenja koja izvođač predlaže i primjenjuje moraju biti usklađena s HRN-ma i propisima te usvojenim EN (kada je zakonom utvrđena njihova obvezna primjena).
Popis hrvatskih propisa i normi za izvođenje:</t>
  </si>
  <si>
    <t>HRN EN 1125:2003     Građevni okovi - dijelovi izlaza za nuždu s pritisnom šipkom - zahtjevi i ispitne metode
HRN EN 1670:2008     Građevni okovi - otpornost na koroziju
HRN EN ISO 10077-1  Toplinske značajke prozora, vrata i zaslona - proračun koeficijenta prolaza topline - 1.dio: pojednostavljena metoda
HRN EN ISO 10077-2  Toplinske značajke prozora, vrata i zaslona - proračun koeficijenta prolaza topline -  2.dio: numerička metoda za okvire
HRN EN 1522/1523      Prozori, vrata i zasloni – Otpornost na pucanj-zahtjevi i razredba/metoda ispitivanja
HRN EN 1627:2012      Vrata za pješake, prozori, ovješene fasade, rešetke i kapci - otpornost na provalu - razredba i zahtjevi 
HRN EN 14024:2008   Metalni profili s prekinutim toplinskim mostom, mehanička svojstva, razredba i  zahtjevi 
HRN EN 12400:2008   Prozori i vrata, mehanička trajnost - zahtjevi i razredba
HRN EN 16034:2014   Pješačka vrata, industrijska, komercijalna i garažna vrata i prozori - Norma za proizvod, izvedbene značajke - Značajke u odnosu na otp. na požar i/ili kontrolu dima.
HRN EN 13501-2:2010 Razredba građevnih proizvoda i građevnih elemenata prema ponašanju u požaru -- 2.  dio: Razredba prema rezultatima ispitivanja ...
HRN EN 1634-1:2008 Ispitivanje otp. na požar i kontrolu dima vrata, roleta i prozora koji se mogu otvarati
HRN EN 1634-3:2008 Ispitivanje otpornosti vrata i sklopova za zatvaranje otvora na požar -- 3. dio: Protudimna vrata i zatvarači
HRN EN 1364-1:2015 Ispitivanja otpornosti na požar nenosivih elemenata -- 1. dio: Zidovi</t>
  </si>
  <si>
    <t>Dobava i ugradnja jednokrilnih zaokretnih unutarnjih vrata (punih i poluostakljenih) s dovratnikom. Dovratnik je iz masivne izrade iz jelove ili smrekove građe I klase, kontroliranog porijekla FSC ili jednakovrijednog ________, dimenzije 42 x 100 mm ili 42 x 150 mm. Pokrovna letvica za spoj zid-dovratnik je iz masivne građe jela-smreka I klase, također kontroliranog porijekla FSC  ili jednakovrijednog ________. Vratno krilo je puno, glatko, debljine 40 mm, okvir iz masivne izrade iz jelove ili smrekove građe I klase, ispuna od kartonskog saća završno obrađeno u boji po izboru projektanta. Nadsvjetla s izo staklom debljine 4 + 12 + 4 mm. Vrata sanitarija hendikepiranih opremljena kompletom rukohvata za hendikepirane, inox. U cijenu je uračunata izrada, kompletan stolarski okov sukladno funkcijama vrata (usadna brava s ključem, aluminijske ručke i štitovi, cilindar brava s ključem) utvrđenim u narudžbi, temeljna i završna obrada. - stavka obuhvaća izradu, dobavu i montažu, sav materijal, transporte i rad na ugradnji vrata do pune gotovosti.</t>
  </si>
  <si>
    <t>POZ UV1 dim 100/260 (vis 205+nadsvjetlo 55)</t>
  </si>
  <si>
    <t>POZ UV2 dim 80/205</t>
  </si>
  <si>
    <t>POZ UV3 dim 100/205</t>
  </si>
  <si>
    <t>POZ UV4 dim 80/210</t>
  </si>
  <si>
    <t>POZ UV5 dim 100/210</t>
  </si>
  <si>
    <t>POZ UV6 dim 100/185</t>
  </si>
  <si>
    <t>Prije izvedbe radova izvoditelj je dužan izraditi i projektantu predočiti detalje izvedbe i radioničke nacrte kao i materijale za izvedbu. Tek nakon izbora i odobrenja projektanta može se otpočeti rad u odabranoj kvaliteti. Prilikom izvođenja radova mora se izvoditelj striktno pridržavati i od strane projektanta prihvaćenih materijala i detalja.</t>
  </si>
  <si>
    <t xml:space="preserve">Za svu bravariju vrijedi da je u jediničnoj cijeni obuhvaćeno: sav materijal koji se ugrađuje i koristi (osnovni i pomoćni materijali); sav potrebna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 ugradbu bravarije; </t>
  </si>
  <si>
    <t xml:space="preserve">završnu obradu; toplinske izolacije u stavkama na fasadi; sva brtvljenje i kitanje reški i dilatacija između pojedinih elemenata same stavke i između stavke i susjednih ploha; sve pokrovne, kutne i kitne letvice i profile; okvire za ugradbu, sva sidra i sidrene detalje i profile; sav okov po izboru projektanta, uključivo podne odbojnike ili zaustavljače vratnih krila; cilindar brave svih vrata, ako troškovnikom nije drugačije navedeno; bušenje rupa u zidovima od opeke ili betona, dobavu i ugradbu pl. tipla za sidrene vijke kao i ugradbu vijaka, po potrebi zapunjavanje rupa za sidra ili oštećenja od ugradbe cem. mortom 1:1. </t>
  </si>
  <si>
    <t>Svi termički zahtjevi na fasadnim elementima moraju se ispuniti tako da zadovoljavaju traženu toplinsku izolaciju u skladu s važećim normama s dokazom ispunjenja zahtjeva u pogledu uštede toplinke energije, toplinske zaštite i zaštita od buke. Fuge između zida/stropa/poda i stolarije ispuniti poliuretanskom pjenom, izvana kitati trajno elastičnim kitom a iznutra pokriti kutnim letvicama. Spajanje pojedinih elemenata u veće cjeline brtviti i vršiti po uputi proizvoditelja a bez posebne naknade.</t>
  </si>
  <si>
    <t>Koeficijent prolaska topline Uw ostakljenih fasadnih elemenata prema HRN EN ISO 10077-1 mora biti manji od Uw=1.6 W/(m2K),   UD=1,09 W/(m2K) za vanjska neostakljena vrata sa nadsvjetlom i UD =1,00 W/(m2K) za vanjska vrata bez ostakljenja .
Dokazuje se proračunom prema HRN EN ISO 10077-1 ili mjerenjem metodom vruće komore prema HRN EN ISO 12567-1.</t>
  </si>
  <si>
    <t>Zrakonepropusnost reški prozora i vanjskih vrata mjeri se prije njihove ugradnje prema HRN EN 1026 i mora zadovoljiti razred zrakopropusnosti 3 prema HRN EN 12207. Vjetrootpornost mora zadovoljiti klasu 5 prema HRN EN 12210.Računske vrijednosti stupnja propuštanja ukupne energije kroz ostakljenje, g┴ (-), za slučaj okomitog upada sunčeva zračenja prema HRN EN 410 mora biti jednak ili manji od: g┴ (-) = 0,50</t>
  </si>
  <si>
    <t>Sve troškove ispitivanja do dobivanja certifikata, uključivo sve potrebne materijale, uzorke i radnje vezane uz isto.</t>
  </si>
  <si>
    <t>Svi vidljivi dijelovi bravarije moraju biti završno bojani alkidnim naličem za bolju obradu, što uključuje: čišćenje od hrđe, po potrebi; ličenje očišćenih mjesta antikorozivnim naličem u 2 premaza; kitanje pukotina i rupica odgovarajućim kitom; ličenje alkidnom bojom u 2 premaza; ličenje alkidnom lak bojom.</t>
  </si>
  <si>
    <t>Vrata i prozore treba opremiti kvalitetnim i trajnim brtvenim trakama i profilima. Isti moraju biti elastični, trajni i otporni na vanjske utjecaje, postojani na temperaturne promjene i zračenje. Kitovi koji se ugrađuju moraju biti trajno elastični, osobina kao gore navedeno.</t>
  </si>
  <si>
    <t>Fuge između zida/stropa/poda i stolarije ispuniti poliuretanskom pjenom, izvana kitati trajno elastičnim kitom a iznutra pokriti kutnim letvicama. Spajanje pojedinih elemenata u veće cjeline brtviti i vršiti po uputi proizvoditelja a bez posebne naknade. Sav okov izvesti od nerđajućeg materijala, a po izboru i dogovorno s projektantom. Svi dijelovi okova trebaju biti skriveni. Dijelove okova od čelika izvesti s presvlakom od cinka vrućim pocinčavanjem 60 g/m2, osim za sidra ankere, koje treba pocinčati 180 g/m2.</t>
  </si>
  <si>
    <t xml:space="preserve">Napomena: U sve stavke vrata uključiti i dobavu, dostavu i ugradnju gumenih odbojnika za vrata odgovarajućih vijaka i plastičnih tipla uključujući i bušenje rupa u tvrdom podu. </t>
  </si>
  <si>
    <r>
      <t xml:space="preserve">POZ 1 dim 180/90 </t>
    </r>
    <r>
      <rPr>
        <sz val="10"/>
        <rFont val="Arial"/>
        <family val="2"/>
      </rPr>
      <t>(dvodijelni OZ)</t>
    </r>
  </si>
  <si>
    <r>
      <t xml:space="preserve">POZ 2 dim 90/90 </t>
    </r>
    <r>
      <rPr>
        <sz val="10"/>
        <rFont val="Arial"/>
        <family val="2"/>
      </rPr>
      <t>(jednodijelni F, sigurnosno)</t>
    </r>
  </si>
  <si>
    <r>
      <t xml:space="preserve">POZ 3 dim 90/90 </t>
    </r>
    <r>
      <rPr>
        <sz val="10"/>
        <rFont val="Arial"/>
        <family val="2"/>
      </rPr>
      <t>(jednodijelni OZ)</t>
    </r>
  </si>
  <si>
    <r>
      <t xml:space="preserve">POZ 4 dim 90/90 </t>
    </r>
    <r>
      <rPr>
        <sz val="10"/>
        <rFont val="Arial"/>
        <family val="2"/>
      </rPr>
      <t>(jednodijelni Z)</t>
    </r>
  </si>
  <si>
    <r>
      <t xml:space="preserve">POZ 9 dim 180/90+90 </t>
    </r>
    <r>
      <rPr>
        <sz val="10"/>
        <rFont val="Arial"/>
        <family val="2"/>
      </rPr>
      <t>(dvodijelni, jednokrilni Z,dvokrilni OZ)</t>
    </r>
  </si>
  <si>
    <r>
      <t xml:space="preserve">POZ 10 dim 180/90+90 </t>
    </r>
    <r>
      <rPr>
        <sz val="10"/>
        <rFont val="Arial"/>
        <family val="2"/>
      </rPr>
      <t>(dvodijelni, jednokrilni Z,dvokrilni OZ)</t>
    </r>
  </si>
  <si>
    <r>
      <t xml:space="preserve">POZ 11 dim 90/90+90 </t>
    </r>
    <r>
      <rPr>
        <sz val="10"/>
        <rFont val="Arial"/>
        <family val="2"/>
      </rPr>
      <t>(dvodijelni, jednokrilni Z,jednokrilni OZ)</t>
    </r>
  </si>
  <si>
    <r>
      <t xml:space="preserve">POZ 12 dim 270/90+90+90 </t>
    </r>
    <r>
      <rPr>
        <sz val="10"/>
        <rFont val="Arial"/>
        <family val="2"/>
      </rPr>
      <t>(trodijelni, jednokrilni Z, dvokrilni OZ, F)</t>
    </r>
  </si>
  <si>
    <r>
      <t xml:space="preserve">POZ 6 dim 180/90+90 </t>
    </r>
    <r>
      <rPr>
        <sz val="10"/>
        <rFont val="Arial"/>
        <family val="2"/>
      </rPr>
      <t>(dvodijelni, dvokrilni OZ, parapet F sigurnosno)</t>
    </r>
  </si>
  <si>
    <r>
      <t xml:space="preserve">POZ 7 dim 180/90+90+90 </t>
    </r>
    <r>
      <rPr>
        <sz val="10"/>
        <rFont val="Arial"/>
        <family val="2"/>
      </rPr>
      <t>(trodijelni, jednokrilni Z, dvokrilni OZ, parapet F sigurnosno)</t>
    </r>
  </si>
  <si>
    <r>
      <t xml:space="preserve">POZ 8 dim 180/90+90+90 </t>
    </r>
    <r>
      <rPr>
        <sz val="10"/>
        <rFont val="Arial"/>
        <family val="2"/>
      </rPr>
      <t>(trodijelni, jednokrilni Z, dvokrilni OZ, parapet F sigurnosno)</t>
    </r>
  </si>
  <si>
    <r>
      <t xml:space="preserve">POZ 5 dim 180/90+90 </t>
    </r>
    <r>
      <rPr>
        <sz val="10"/>
        <rFont val="Arial"/>
        <family val="2"/>
      </rPr>
      <t>(dvodijelni, dvokrilni OZ, parapet F sigurnosno)</t>
    </r>
  </si>
  <si>
    <r>
      <t xml:space="preserve">POZ 13 dim 180/90+90+90 </t>
    </r>
    <r>
      <rPr>
        <sz val="10"/>
        <rFont val="Arial"/>
        <family val="2"/>
      </rPr>
      <t>(trodijelni, jednokrilni Z, dvokrilni OZ, parapet F sigurnosno)</t>
    </r>
  </si>
  <si>
    <r>
      <t xml:space="preserve">POZ 14 dim 180/90+90+90 </t>
    </r>
    <r>
      <rPr>
        <sz val="10"/>
        <rFont val="Arial"/>
        <family val="2"/>
      </rPr>
      <t>(trodijelni, jednokrilni Z, dvokrilni OZ, parapet F sigurnosno)</t>
    </r>
  </si>
  <si>
    <r>
      <t xml:space="preserve">POZ 16 dim 270/90+90+90 </t>
    </r>
    <r>
      <rPr>
        <sz val="10"/>
        <rFont val="Arial"/>
        <family val="2"/>
      </rPr>
      <t>(četverodijelni, jednokrilni Z, dvokrilni OZ, jednokrilni Z, parapet F sigurnosno)</t>
    </r>
  </si>
  <si>
    <r>
      <t xml:space="preserve">POZ 15 dim 270/90+90+90 </t>
    </r>
    <r>
      <rPr>
        <sz val="10"/>
        <rFont val="Arial"/>
        <family val="2"/>
      </rPr>
      <t>(četverodijelni, jednokrilni Z, dvokrilni OZ, jednokrilni Z, parapet F sigurnosno)</t>
    </r>
  </si>
  <si>
    <r>
      <t xml:space="preserve">POZ 17 dim 140/140 </t>
    </r>
    <r>
      <rPr>
        <sz val="10"/>
        <rFont val="Arial"/>
        <family val="2"/>
      </rPr>
      <t>(jednodijelni, dvokrilni OZ+Z)</t>
    </r>
  </si>
  <si>
    <r>
      <t xml:space="preserve">POZ 18 dim 80/80 </t>
    </r>
    <r>
      <rPr>
        <sz val="10"/>
        <rFont val="Arial"/>
        <family val="2"/>
      </rPr>
      <t>(jednodijelni, jednokrilni OZ)</t>
    </r>
  </si>
  <si>
    <r>
      <t xml:space="preserve">POZ 19 dim 251/215 </t>
    </r>
    <r>
      <rPr>
        <sz val="10"/>
        <rFont val="Arial"/>
        <family val="2"/>
      </rPr>
      <t>(trodijelni, jednokrilni O, jednokrilni O, F sigurnosno)</t>
    </r>
  </si>
  <si>
    <r>
      <t xml:space="preserve">POZ 20 dim 90/180 </t>
    </r>
    <r>
      <rPr>
        <sz val="10"/>
        <rFont val="Arial"/>
        <family val="2"/>
      </rPr>
      <t>(dvodijelni, jednokrilni OZ, parapet F sigurnosno)</t>
    </r>
  </si>
  <si>
    <r>
      <t xml:space="preserve">POZ SP1 dim 210/80 </t>
    </r>
    <r>
      <rPr>
        <sz val="10"/>
        <rFont val="Arial"/>
        <family val="2"/>
      </rPr>
      <t>(jednodijelni, jednokrilni F)</t>
    </r>
  </si>
  <si>
    <t>POZ SV1 dim 80/300 (vis 205+nadsvjetlo 95)</t>
  </si>
  <si>
    <r>
      <t xml:space="preserve">POZ S1 dim 270/318 </t>
    </r>
    <r>
      <rPr>
        <sz val="10"/>
        <rFont val="Arial"/>
        <family val="2"/>
      </rPr>
      <t>šesterodijelna, 5 fiksnih dijelova, dvokrilna Z vrata, sigurnosno staklo)</t>
    </r>
  </si>
  <si>
    <t>PROZORI</t>
  </si>
  <si>
    <r>
      <t xml:space="preserve">POZ S4 dim 251/318 </t>
    </r>
    <r>
      <rPr>
        <sz val="10"/>
        <rFont val="Arial"/>
        <family val="2"/>
      </rPr>
      <t>šesterodijelna, 5 fiksnih dijelova, jednokrilna M (mimokretna) vrata, sigurnosno staklo)</t>
    </r>
  </si>
  <si>
    <r>
      <t xml:space="preserve">POZ S5 dim 150/220 </t>
    </r>
    <r>
      <rPr>
        <sz val="10"/>
        <rFont val="Arial"/>
        <family val="2"/>
      </rPr>
      <t>jednodijelna, dvokrilna Z vrata (100+50cm), sigurnosno staklo)</t>
    </r>
  </si>
  <si>
    <r>
      <t xml:space="preserve">POZ S6 dim 180/210 </t>
    </r>
    <r>
      <rPr>
        <sz val="10"/>
        <rFont val="Arial"/>
        <family val="2"/>
      </rPr>
      <t>jednodijelna, dvokrilna Z vrata (90+90cm), sigurnosno staklo)</t>
    </r>
  </si>
  <si>
    <r>
      <t xml:space="preserve">POZ S3 dim 221/318 </t>
    </r>
    <r>
      <rPr>
        <sz val="10"/>
        <rFont val="Arial"/>
        <family val="2"/>
      </rPr>
      <t>šesterodijelna, 5 fiksnih dijelova, jednokrilna Z vrata, sigurnosno staklo)</t>
    </r>
  </si>
  <si>
    <r>
      <t xml:space="preserve">POZ S2 dim 561/318 </t>
    </r>
    <r>
      <rPr>
        <sz val="10"/>
        <rFont val="Arial"/>
        <family val="2"/>
      </rPr>
      <t>deveterodijelna, 8 fiksnih dijelova, dvokrilna M (mimokretna) vrata, sigurnosno staklo)</t>
    </r>
  </si>
  <si>
    <r>
      <t xml:space="preserve">POZ S7 dim 270/255 </t>
    </r>
    <r>
      <rPr>
        <sz val="10"/>
        <rFont val="Arial"/>
        <family val="2"/>
      </rPr>
      <t>šesterodijelna, 5 fiksnih dijelova, dvokrilna Z vrata, sigurnosno staklo)</t>
    </r>
  </si>
  <si>
    <r>
      <t xml:space="preserve">POZ S8 dim 270/255 </t>
    </r>
    <r>
      <rPr>
        <sz val="10"/>
        <rFont val="Arial"/>
        <family val="2"/>
      </rPr>
      <t>šesterodijelna, 5 fiksnih dijelova, dvokrilna M (mimokretna) vrata, sigurnosno staklo)</t>
    </r>
  </si>
  <si>
    <r>
      <t xml:space="preserve">POZ S9 dim 150/255 </t>
    </r>
    <r>
      <rPr>
        <sz val="10"/>
        <rFont val="Arial"/>
        <family val="2"/>
      </rPr>
      <t>jednodijelna, dvokrilna Z vrata (nadsvjetlo u svakom krilu 100/50+50/50, F)</t>
    </r>
  </si>
  <si>
    <t xml:space="preserve">PROTUPOŽARNA VRATA
</t>
  </si>
  <si>
    <t>PROTUPOŽARNA BRAVARIJA</t>
  </si>
  <si>
    <t>Radove izvesti prema shemama stolarije i opisu u  troškovniku i drugim dijelovima ove projektne dokumentacije po pravilima struke, primjenjujući važeće opće i posebne tehničke propise i norme, naročito: Tehnički propis o građevnim proizvodima, Tehnički propis za prozore i vrata,  Tehnički propis o racionalnoj uporabi energije i toplinskoj zaštiti u zgradama.</t>
  </si>
  <si>
    <t xml:space="preserve">U cijeni stavke uključiti komplet sav potreban rad i materijal prema opisu u troškovniku, kao i sve dodatne radove i materijale potrebne da se izradi kompletni elemnt kao oblikovna i funkcionalna cjelina, te dokaze kvalitete stolarije. Svi spojni elementi sastavni su dio stavki. Ukjlučena izrada radioničke dokumentacije te obveza davanja projektantu na ovjeru ili usklađenje.  Izvođač je dužan prije izvođenja dostaviti uzorak materijala, završne obrade, uzorak elementa ili detalj elementa u mj 1:1 na ovjeru projektantu. </t>
  </si>
  <si>
    <t>Izvođač odgovara za mjere i način otvaranja vrata. Prije narudžbe nužno je da Izvođač iskontrolira smjerove otvaranja vrata i mogućnosti otvaranja vrata. Izmjera na licu mjesta, slučaju odstupanja mjera od istih na nacrtu/shemi obavezno obavijestiti projektanta radi provjere i davanja eventualnog zamjenskog ili revidiranog rješenja.</t>
  </si>
  <si>
    <t>Jedinična cijena sadrži sav potreban rad i materijal, ugradbu slijepog dovratnika i dovratnika, ugradbu slijepog doprozornika i doprozornika, ako to opisom u pojedinoj stavci troškovnika nije drugačije određeno. Isto tako cijena sadrži i sva potrebna pripasivanja prije ličilačkih radova kao i odbojnike montirane u pod ili zid te popunjavanje šupljina između lajsni vrata i zidova sa akrilnim kitom.
Vrata izraditi prema shemi, požarnom elaboratu i izmjeri!</t>
  </si>
  <si>
    <t>Svu opremu i materijale ugraditi prema uputstvima proizvođača, svi elementi (štokovi,pokrivne lajsne) trebaju biti ugrađeni simetrično. Ugrađuje se panik brava/letva.</t>
  </si>
  <si>
    <r>
      <t xml:space="preserve">POZ UVP1 dim 100/205 </t>
    </r>
    <r>
      <rPr>
        <sz val="10"/>
        <rFont val="Arial"/>
        <family val="2"/>
      </rPr>
      <t>jednodijelna, jednokrilna Z vrata, E 30-C</t>
    </r>
  </si>
  <si>
    <r>
      <t>POZ UVP2 dim 100/260</t>
    </r>
    <r>
      <rPr>
        <sz val="10"/>
        <rFont val="Arial"/>
        <family val="2"/>
      </rPr>
      <t xml:space="preserve"> (vis 210+50 cm nadsvjetlo) jednodijelna, jednokrilna Z vrata, EI2 30-C-Sm</t>
    </r>
  </si>
  <si>
    <r>
      <t>POZ UVP3 dim 180/260</t>
    </r>
    <r>
      <rPr>
        <sz val="10"/>
        <rFont val="Arial"/>
        <family val="2"/>
      </rPr>
      <t xml:space="preserve"> (vis 210+50 cm nadsvjetlo) jednodijelna, dvokrilna Z vrata, E 30-C</t>
    </r>
  </si>
  <si>
    <r>
      <t xml:space="preserve">POZ UVP4 dim 120/210 </t>
    </r>
    <r>
      <rPr>
        <sz val="10"/>
        <rFont val="Arial"/>
        <family val="2"/>
      </rPr>
      <t>jednodijelna, jednokrilna Z vrata, E 30-C</t>
    </r>
  </si>
  <si>
    <r>
      <t>POZ UVP5 dim 100/255</t>
    </r>
    <r>
      <rPr>
        <sz val="10"/>
        <rFont val="Arial"/>
        <family val="2"/>
      </rPr>
      <t xml:space="preserve"> (vis 210+45 cm nadsvjetlo) jednodijelna, jednokrilna Z vrata, EI2 30-C-Sm</t>
    </r>
  </si>
  <si>
    <r>
      <t xml:space="preserve">POZ UVP6 dim 150/205 </t>
    </r>
    <r>
      <rPr>
        <sz val="10"/>
        <rFont val="Arial"/>
        <family val="2"/>
      </rPr>
      <t>jednodijelna, dvokrilna Z vrata, E 30-C</t>
    </r>
  </si>
  <si>
    <t>Dobava i postava unutrašnjih prozorskih klupčica od HPL 'compact' ploče min. 18mm, bijela površina, mat, uključivo obrada ruba bijelom ukrasnom lajsnom, sa zavrnutim krajem, izbacivanje 150mm i 200mm. 
U cijenu uključen sav potreban rad, predradnje i materijal do funkcionalne gotovosti.</t>
  </si>
  <si>
    <r>
      <t xml:space="preserve">Izrada i montaža </t>
    </r>
    <r>
      <rPr>
        <b/>
        <sz val="10"/>
        <rFont val="Arial"/>
        <family val="2"/>
      </rPr>
      <t>vanjskih prozorskih klupčica</t>
    </r>
    <r>
      <rPr>
        <sz val="10"/>
        <rFont val="Arial"/>
        <family val="2"/>
      </rPr>
      <t xml:space="preserve"> iz plastificiranog aluminijskog lima d = 0,8 mm, antracit, razvijene širine 25 cm. Klupčice se ugrađuju sa vanjske strane zida. U cijenu je uključena i postava gornje okapnice otvora i krajnjih opšava, te sav materijal i rad. Stvarne mjere provjeriti u naravi.</t>
    </r>
  </si>
  <si>
    <t>~ za okapnicu po obodu krova r.š. 95 cm</t>
  </si>
  <si>
    <t>kompl.</t>
  </si>
  <si>
    <r>
      <t xml:space="preserve">Dobava, izrada i montaža opšavnih limova </t>
    </r>
    <r>
      <rPr>
        <b/>
        <sz val="10"/>
        <rFont val="Arial"/>
        <family val="2"/>
      </rPr>
      <t>nadozida (atike) krova</t>
    </r>
    <r>
      <rPr>
        <sz val="10"/>
        <rFont val="Arial"/>
        <family val="2"/>
        <charset val="238"/>
      </rPr>
      <t xml:space="preserve"> od plastificiranog aluminijskog lima debljine d=0,6 mm, komplet sa čeličnim pocinčanim nosačima. Sve spojeve brtviti sa trajnoelastičnim kitom otpornim na UV zrake, te koristiti odgovarajuće vijke sa kapicom i brtvom, te sav spojno brtveni materijal. </t>
    </r>
  </si>
  <si>
    <r>
      <t xml:space="preserve">Izvedba </t>
    </r>
    <r>
      <rPr>
        <b/>
        <sz val="10"/>
        <rFont val="Arial"/>
        <family val="2"/>
      </rPr>
      <t>detalja</t>
    </r>
    <r>
      <rPr>
        <sz val="10"/>
        <rFont val="Arial"/>
        <family val="2"/>
      </rPr>
      <t xml:space="preserve"> krovnih i fasadnih opšavnih završetaka, krovnih žljebova i pokrivanje svih </t>
    </r>
    <r>
      <rPr>
        <b/>
        <sz val="10"/>
        <rFont val="Arial"/>
        <family val="2"/>
      </rPr>
      <t>opšavnih spojeva prodora instalacija</t>
    </r>
    <r>
      <rPr>
        <sz val="10"/>
        <rFont val="Arial"/>
        <family val="2"/>
      </rPr>
      <t>, te svih potrebnih limenih opšava od pocinčanog bojanog čeličnog lima. Uključivo spojne profile i brtvene elemente sustava proizvođača. U svemu prema detaljima proizvođača, odobreno od projektanta.</t>
    </r>
  </si>
  <si>
    <t>KROVOPOKRIVAČKI I LIMARSKI RADOVI</t>
  </si>
  <si>
    <r>
      <t>Dobava i postava</t>
    </r>
    <r>
      <rPr>
        <b/>
        <sz val="10"/>
        <rFont val="Arial"/>
        <family val="2"/>
        <charset val="238"/>
      </rPr>
      <t xml:space="preserve"> hidroizolacije ravnog neprohodnog krova kao završnog sloja</t>
    </r>
    <r>
      <rPr>
        <sz val="10"/>
        <rFont val="Arial"/>
        <family val="2"/>
        <charset val="238"/>
      </rPr>
      <t xml:space="preserve"> iz sintetičke membrane TPO/FPO na bazi polimera, UV stabilna, debljine d= 2,0 mm. Ispod hidroizolacije po potrebi postava razdjelnog sloja - prema preporuci i uputama proizvođača. Membrane se polažu i spojevi se obrađuju toplinskim ili kemijskim putem, u skladu s propisanom tehnologijom od strane proizvođača membrane. Vanjski i unutarnji kutovi i odrezani rubovi brtve se i obrađuju sve prema uputi proizvođača. Izvedba membrane na termoizolacijskim pločama, na krovu zgrade. Uključivo oblaganje vertikalnih zidova i ravnog krova krovnog istaka iznad okna dizala.</t>
    </r>
  </si>
  <si>
    <t>UKUPNO ZIDARSKI RADOVI:</t>
  </si>
  <si>
    <r>
      <t xml:space="preserve">Dobava i postava </t>
    </r>
    <r>
      <rPr>
        <b/>
        <sz val="10"/>
        <rFont val="Arial"/>
        <family val="2"/>
      </rPr>
      <t>zaštite ravnog krova</t>
    </r>
    <r>
      <rPr>
        <sz val="10"/>
        <rFont val="Arial"/>
        <family val="2"/>
        <charset val="238"/>
      </rPr>
      <t>, betonskim opločnicima svjetlijeg tona boje, dim. &gt;= 40/40/6cm, na sloju finog tucanika 2/4mm d= 5,0 cm. Po preporuci i uputama proizvođača o ugradnji u cijenu uključena i dobava i postava podmetača za nošenje i izdizanje betonskih ploča h=cca 5,0cm.</t>
    </r>
  </si>
  <si>
    <t>Upotrijebljeni materijali, željezo, aluminij, čelični limovi i dr., moraju odgovarati tehničkim propisima za bravarske radove i hrvatskim normama i to:</t>
  </si>
  <si>
    <t>Specijalni umeci od tvrdog PVC materijala moraju osigurati kvalitetu i čisti sastav dvaju profila.</t>
  </si>
  <si>
    <t>Kod spajanja različitih materijala mora se osigurati da ne dođe do korozije. Vezovi i učvršćenja moraju biti takvi da uslijed temperaturnih promjena ne dođe do teškoća u funkciji pojedinih elemenata. Brtvljenje mora biti nepropusno za vodu, a propuštanje zraka minimalno.</t>
  </si>
  <si>
    <t>Svi profili i limovi trebaju biti odmašćeni, a hrđa odstranjena. Za varive elemente varioci trebaju posjedovati certifikat o kategoriji.</t>
  </si>
  <si>
    <t>Za sve radove predviđene troškovnikom izvođač radova dužan je pribaviti certifikate od odgovarajućih instituta, za kvalitetu materijala, površinske obrade, ispravnost po izvođaču predloženih detalja kao i antikorozivne zaštite.</t>
  </si>
  <si>
    <t>Sve ostale bravarske izrađevine kao mreže, ventilacione rešetke, otirači za obuću i slično izvode se prema opisu u pojedinoj stavci troškovnika, shemi bravarije i detaljima.</t>
  </si>
  <si>
    <r>
      <t>POZ V1 dim 180/235 (</t>
    </r>
    <r>
      <rPr>
        <sz val="10"/>
        <rFont val="Arial"/>
        <family val="2"/>
      </rPr>
      <t>jednodijelna, dvokrilna Z, nadsvjetlo u svakom krilu 75/40, F. )Puni dio panela vratnih krila od plastificiranog Alu lima antracit boje obostrano, ispuna od termoizolacijskog materijala d=40mm.</t>
    </r>
  </si>
  <si>
    <r>
      <t>POZ V2 dim 160/235 (</t>
    </r>
    <r>
      <rPr>
        <sz val="10"/>
        <rFont val="Arial"/>
        <family val="2"/>
      </rPr>
      <t>jednodijelna, dvokrilna Z, nadsvjetlo u svakom krilu 75/40, F). Puni dio panela vratnih krila od plastificiranog Alu lima antracit boje obostrano, ispuna od termoizolacijskog materijala d=40mm.</t>
    </r>
  </si>
  <si>
    <t>Tehnički propis za staklene konstrukcije NN 53/17</t>
  </si>
  <si>
    <t>Čelične konstrukcije izvoditi prema detaljnim radioničkim nacrtima uvažavajući sve odredbe projektanta-konstruktera i važeće propise i norme, naročito temeljem čl. 20. Zakona o tehničkim zahtjevima za proizvode i ocjeni sukladnosti (NN 126/21) preuzetih normi i pravilnika Zakonom o normizaciji (NN 80/13).</t>
  </si>
  <si>
    <t xml:space="preserve">VANJSKA VRATA
(spremišta i otpad, sjeverno pročelje)
Izrada, dobava i montaža vanjskih i unutarnjih aluminijskih vrata, prozora i stijena iz plastificiranih aluminijskih profila s prekinutim toplinskim mostom, antracit boje, polusjaj. Ostakljena bravarija sadržava troslojno reflektirajuće izo staklo sa low-e premazom 4+16+4+16+4 mm, Uw &lt;= 1.4 W/(m2K), Ug&lt; =  0,7 W/m2K. Staklo u zoni parapeta, te staklene stijene i vrata od sigurnosnog stakla. U stavci je uračunat sav potreban okov. RAL ugradnja. U cijenu je uračunat sav potreban rad i materijal. U stavku je uračunat horizontalni i vertikalni transport. Obračun po kom.
</t>
  </si>
  <si>
    <r>
      <t xml:space="preserve">STIJENE
(vjetrobrani, vanjska ulazna vrata i unutarnja vrata dvorane. Ugrađuje se panik letva.)
</t>
    </r>
    <r>
      <rPr>
        <sz val="10"/>
        <rFont val="Arial"/>
        <family val="2"/>
      </rPr>
      <t>Izrada, dobava i montaža vanjskih i unutarnjih aluminijskih vrata, prozora i stijena iz plastificiranih aluminijskih profila s prekinutim toplinskim mostom, antracit boje, polusjaj. Ostakljena bravarija sadržava troslojno reflektirajuće izo staklo sa low-e premazom 4+16+4+16+4 mm, Uw &lt;= 1.4 W/(m2K), Ug&lt; =  0,7 W/m2K. Staklo u zoni parapeta, te staklene stijene i vrata od sigurnosnog stakla. U stavci je uračunat sav potreban okov. RAL ugradnja. U cijenu je uračunat sav potreban rad i materijal. U stavku je uračunat horizontalni i vertikalni transport. Obračun po kom.</t>
    </r>
  </si>
  <si>
    <t>Okov - prema shemi i normi HRN EN 179/1125 ili kvaka i kvaka/kugla, brtvljenje, sigurnosna cilindar brava s tri ključa, hidraulični zatvarač u glavnom krilu, uključivo i zidni/podni gumeni odbojnik, redosljednik zatvaranja.  
Vrata su bez praga, sa spuštajućom brtvom. 
Priložiti atest / Certifikat izdan od ovlaštene ustanove, po normi važećoj u RH te označiti svaka vrata metalnom pločicom s osnovnim podacima o proizvodu i serijskim brojem proizvoda.
Vrata moraju imati mogućnost manualnog otvaranja i zatvaranja, odnosno zaključavanja, također moraju imati mogućnost ručnog zatvaranja u otvorenom, odnosno zatvorenom položaju, te opciju manualnog otvaranja u slučaju gubitka električne energije. Ugrađuje se panik letva.
Sve do fukcionalne gotovosti. Obračun po komadu.</t>
  </si>
  <si>
    <r>
      <rPr>
        <sz val="10"/>
        <rFont val="Arial"/>
        <family val="2"/>
      </rPr>
      <t>Izrada, dobava i ugradnja unutarnjih</t>
    </r>
    <r>
      <rPr>
        <b/>
        <sz val="10"/>
        <rFont val="Arial"/>
        <family val="2"/>
      </rPr>
      <t xml:space="preserve"> staklenih ograda stubišta</t>
    </r>
    <r>
      <rPr>
        <sz val="10"/>
        <rFont val="Arial"/>
        <family val="2"/>
      </rPr>
      <t xml:space="preserve"> </t>
    </r>
    <r>
      <rPr>
        <b/>
        <sz val="10"/>
        <rFont val="Arial"/>
        <family val="2"/>
      </rPr>
      <t>i podesta</t>
    </r>
    <r>
      <rPr>
        <sz val="10"/>
        <rFont val="Arial"/>
        <family val="2"/>
      </rPr>
      <t xml:space="preserve"> od sigurnosnog stakla. Ugrađuje se na nosive "U" profile, pričvršćene bočno u rub/čelo AB stubišne ploče, uključivo završnu obradu. Rukohvat od zaobljenih inox profila fi=40mm. Visina ograde 1,10m od gotovog poda.</t>
    </r>
    <r>
      <rPr>
        <sz val="10"/>
        <color rgb="FFFF0000"/>
        <rFont val="Arial"/>
        <family val="2"/>
        <charset val="238"/>
      </rPr>
      <t xml:space="preserve"> </t>
    </r>
  </si>
  <si>
    <r>
      <t xml:space="preserve">Opločenje podova sanitarija, čajnih kuhinja i spremišta (prema projektu) podnim keramičkim pločicama I klase, protukliznost klasifikacijske </t>
    </r>
    <r>
      <rPr>
        <sz val="10"/>
        <rFont val="Arial CE"/>
      </rPr>
      <t>grupe (R11).</t>
    </r>
    <r>
      <rPr>
        <sz val="10"/>
        <rFont val="Arial CE"/>
        <family val="2"/>
        <charset val="238"/>
      </rPr>
      <t xml:space="preserve"> Pločice polagati u visokofleksibilno ljepilo za keramičke pločice, izvedba reška na rešku, naglašene reške zapuniti masom za fugiranje.</t>
    </r>
    <r>
      <rPr>
        <sz val="10"/>
        <rFont val="Arial CE"/>
        <charset val="238"/>
      </rPr>
      <t xml:space="preserve"> </t>
    </r>
    <r>
      <rPr>
        <sz val="10"/>
        <rFont val="Arial CE"/>
      </rPr>
      <t xml:space="preserve">Uključivo brtvljenje sudarne reške s zidovima trajnoelastičnim fungicidnim kitom. </t>
    </r>
  </si>
  <si>
    <t>Vrstu pločica, dimenzije i boju odabire projektant, investitor na osnovu predočenih uzoraka.</t>
  </si>
  <si>
    <t>Vrstu pločica, dimenzije i boju odabire projektant, na osnovu predočenih uzoraka.</t>
  </si>
  <si>
    <t xml:space="preserve">Opločenje zidova sanitarija i čajnih kuhinja (prema projektu)  keramičkim pločicama I klasa. Pločice polagati u visokofleksibilno ljepilo za keramičke pločice, izvedba reška na rešku, a naglašene reške zapuniti masom za fugiranje. Na rubove opločenja ugraditi tipske profile. Opločenje u visini 2,20m, u kuhinji 3.00m. Uključivo ugradnju tipskih profila na rubovima, brtvljenje sudarnih ploha dvaju zidova, zidova i podova (svih kuteva) i sanitarija trajnoelastičnim sanitar kitom.
</t>
  </si>
  <si>
    <r>
      <t xml:space="preserve">Opločenje podova podnim gres pločicama (prema projektu)  I klase, protukliznost klasifikacijske </t>
    </r>
    <r>
      <rPr>
        <sz val="10"/>
        <rFont val="Arial CE"/>
      </rPr>
      <t>grupe (R11).</t>
    </r>
    <r>
      <rPr>
        <sz val="10"/>
        <rFont val="Arial CE"/>
        <family val="2"/>
        <charset val="238"/>
      </rPr>
      <t xml:space="preserve"> Pločice polagati u visokofleksibilno ljepilo za keramičke pločice, izvedba reška na rešku, naglašene reške zapuniti masom za fugiranje.</t>
    </r>
    <r>
      <rPr>
        <sz val="10"/>
        <rFont val="Arial CE"/>
        <charset val="238"/>
      </rPr>
      <t xml:space="preserve"> </t>
    </r>
    <r>
      <rPr>
        <sz val="10"/>
        <rFont val="Arial CE"/>
      </rPr>
      <t xml:space="preserve">Uključivo brtvljenje sudarne reške s zidovima trajnoelastičnim fungicidnim kitom. </t>
    </r>
  </si>
  <si>
    <t>Opločenje podova kamenim pločama u čekaonici (prema projektu)  I klase, protukliznost klasifikacijske grupe (R11). Ploče polagati u visokofleksibilno ljepilo za prirodni kamen, izvedba reška na rešku, naglašene reške zapuniti masom za fugiranje. Uključivo brtvljenje sudarne reške s zidovima trajnoelastičnim fungicidnim kitom. Posebnu pažnju obratiti obradi spoja zida i opločenja poda. Fugiranje kamena smjesom za fugiranje. U cijenu je uključen sav potreban materijal s radom, rezanjem i pripasavanjem pločica, te podloga za postavu ploča.</t>
  </si>
  <si>
    <t>Ploče se postavljaju  prema projektu tj. detaljnom nacrtu polaganja.</t>
  </si>
  <si>
    <t>Vrstu ploča, dimenzije i boju odabire projektant, na osnovu predočenih uzoraka.</t>
  </si>
  <si>
    <t>Dobava i postava ljepljenjem PVC fleksibilne homogene podne obloge, tip i boja po izboru projektanta. U cijenu uključena  i izrada izravnavajućeg sloja masom za izravnanje u debljini od 1 do 2 mm,  na suhu, čvrstu i ravnu podlogu. Dopuštene su granične vrijednosti neravnina gotove podloge prema DIN 18202 mjerena na razmaku od 2m - 7mm, 0.20m - 2mm, a dozvoljena vlažnost estriha prema DIN 18560 je 2% CM. Vatrootpornst B1, klizavost suho EN 13893&gt;0,3, klizavost mokro DIN 51130  R9. Na ovako pripremljenu podlogu polaže se homogena fleksibilna PVC podna obloga antibakterijskih i fungicidalnih karakteristika, održavanje vodom i neutralnim deterdžentom. Rubovi traka se  kroje i režu za toplo zavarivanje elektrodom.
Dobava i postava PVC tipske fleksibilne zidne lajsne, visine 60 mm, u boji po izboru projektanta. Lajsna se lijepi na zid odgovarajućim kontaktnim ljepilom prema preporuci proizvođača.</t>
  </si>
  <si>
    <t xml:space="preserve"> Popis normi za podne obloge, opločenja i završne obrade:</t>
  </si>
  <si>
    <t>Podopolagačke radove izvesti prema opisu u troškovniku, iz prvoklasnog materijala, u svemu prema tehničkim uvjetima za podopolagačke radove i hrvatskim normama. Prema vrsti materijala podne obloge mogu biti sljedeće sa odgovarajućim primjenjivim normama:</t>
  </si>
  <si>
    <r>
      <rPr>
        <b/>
        <sz val="10"/>
        <rFont val="Arial"/>
        <family val="2"/>
      </rPr>
      <t>Zidanje pregradnih zidova i elemenata od porastog betona (pjenobetona)</t>
    </r>
    <r>
      <rPr>
        <sz val="10"/>
        <rFont val="Arial"/>
        <family val="2"/>
      </rPr>
      <t xml:space="preserve"> kvalitete proizvoda I. razreda zidnih elemenata i tankoslojnim mortom minimalne marke M5 kvalitete morta tipa B. 
Prvi red blokova potrebno je postaviti na idealno ravan u oba smjera sloj cemetnog morta 1:2 debljine 2-5 cm ovisno o točnosti izvedene  podloge. Sve ostale horizontalne i vertikalne sljubnice (fuge) potrebno je ispuniti po cijeloj površini tankoslojnim mortom max. debljine 3 mm. Prilikom zidanja nije dozvoljeno preklapanje vertikalnih sljubnica. Minimalni razmak između vertikalnih sljubnica dva susjedna reda smije biti 10 cm. Povezivanje porobetonskog elementa (pregradni zid) i nosive konstrukcije potrebno je izvesti mehaničkim spojnim sredstvima - elastičnim ankerima (sidrima), a  vertikalnu fugu debljine 1 cm fugu potrebno je popuniti PUR pjenom, sve prema preporukama proizvođača. Jediničnom cijenom obuhvatiti dobavu opeke/ploča, nadvoje, sve potrebne elemente za punu gootvost ziđa, mort, zidanje sa 100 % zapunjavanjem mortom, sve prijevoze, radne skele, njegovanje za vrijeme i nakon zidanja.U cijeni je uključena potrebna pokretna radna skela, elastični ankeri, PUR pjena i čišćenje radnog mjesta nakon završetka radova. 
Obračun po m2,  a stavke prema debljini zida.</t>
    </r>
  </si>
  <si>
    <r>
      <t>Izrada</t>
    </r>
    <r>
      <rPr>
        <b/>
        <sz val="10"/>
        <rFont val="Arial"/>
        <family val="2"/>
      </rPr>
      <t xml:space="preserve"> holkera</t>
    </r>
    <r>
      <rPr>
        <sz val="10"/>
        <rFont val="Arial"/>
        <family val="2"/>
      </rPr>
      <t xml:space="preserve"> od cementnog morta između vodoravne i okomite plohe kao podloge za hidroizolaciju. Zahvatiti po oko 5 cm  vodoravno i okomito (r.š. 10 cm). Zagladiti.</t>
    </r>
  </si>
  <si>
    <r>
      <t xml:space="preserve">Dobava i ugradnja </t>
    </r>
    <r>
      <rPr>
        <b/>
        <sz val="10"/>
        <rFont val="Arial"/>
        <family val="2"/>
      </rPr>
      <t>polumontažnih opečnih nadvoja</t>
    </r>
    <r>
      <rPr>
        <sz val="10"/>
        <rFont val="Arial"/>
        <family val="2"/>
      </rPr>
      <t>, iznad otvora u zidu od opeke debljine 30 cm. Za ugradnju je potreban minimalni obostrani ležaj na zidu od 15 cm.</t>
    </r>
  </si>
  <si>
    <r>
      <rPr>
        <b/>
        <sz val="10"/>
        <rFont val="Arial"/>
        <family val="2"/>
      </rPr>
      <t>Strojno žbukanje greda, stropova i stubišta</t>
    </r>
    <r>
      <rPr>
        <sz val="10"/>
        <rFont val="Arial"/>
        <family val="2"/>
      </rPr>
      <t>, (vapneno-cementna) žbukom M5. Debljina sloja žbuke cca 1,5-2,0cm. Žbuka tvornički pripremljena, izvedena u potpunosti po uputama i tehnologiji odabranog proizvođača. Uključivo prethodno ručno napikavanje, čišćenje i ispuhivanje bet. ploha (beton stariji od 30dana). Bez obzina na veličinu plohe i prostorije. Prije rada obvezno konzultirati izvođače svih instalacija. Radna skela uračunata u cijenu</t>
    </r>
  </si>
  <si>
    <r>
      <rPr>
        <b/>
        <sz val="10"/>
        <rFont val="Arial"/>
        <family val="2"/>
      </rPr>
      <t>Gletanje betonskih i opečnih ožbukanih zidova</t>
    </r>
    <r>
      <rPr>
        <sz val="10"/>
        <rFont val="Arial"/>
        <family val="2"/>
      </rPr>
      <t xml:space="preserve"> glet masom u dva sloja. Sve prema uputi proizvođača i prema pravilima struke. Podloga mora biti izvedena kao priprema za bojanje.</t>
    </r>
  </si>
  <si>
    <r>
      <rPr>
        <b/>
        <sz val="10"/>
        <rFont val="Arial"/>
        <family val="2"/>
      </rPr>
      <t>Strojno žbukanje unutarnjih ploha zidova</t>
    </r>
    <r>
      <rPr>
        <sz val="10"/>
        <rFont val="Arial"/>
        <family val="2"/>
      </rPr>
      <t xml:space="preserve"> od opeke, betona i porobetona produžnom (vapneno-cementna) žbukom M5. Debljina sloja žbuke cca 1,5 -2,0 cm. Žbuka tvornički pripremljena, izvedena u potpunosti po uputama i tehnologiji odabranog proizvođača. Uključivo prethodno ručno napikavanje, čišćenje i ispuhivanje bet. ploha (beton stariji od 30dana). Bez obzira na veličinu plohe i prostorije.Uključivo premazivanje prije žbukanja i gletanja impregnacijskim sredstvom za lakšu prionjivost. Sve prema uputstvima proizvođača. Prije rada obvezno konzultirati izvođače svih instalacija radi eventualne izvedbe instalacija u debljini žbuke. Radna skela uračunata u cijenu. Uključivo potrebna varena mrežica 4 x 4mm na spojevima dva različita materijala, profili za ojačanje rubova i sav ostali potreban materijal. Obrada špaleta u stavci.</t>
    </r>
  </si>
  <si>
    <r>
      <rPr>
        <b/>
        <sz val="10"/>
        <rFont val="Arial"/>
        <family val="2"/>
      </rPr>
      <t>Gletanje greda, stropova i stubišta</t>
    </r>
    <r>
      <rPr>
        <sz val="10"/>
        <rFont val="Arial"/>
        <family val="2"/>
      </rPr>
      <t xml:space="preserve"> glet masom u dva sloja. Sve prema uputi proizvođača i prema pravilima struke. Podloga mora biti izvedena kao priprema za bojanje.</t>
    </r>
  </si>
  <si>
    <r>
      <rPr>
        <b/>
        <sz val="10"/>
        <rFont val="Arial"/>
        <family val="2"/>
      </rPr>
      <t>Gletanje unutarnjih pregradnih zidova od gipskartonskih ploča</t>
    </r>
    <r>
      <rPr>
        <sz val="10"/>
        <rFont val="Arial"/>
        <family val="2"/>
      </rPr>
      <t xml:space="preserve"> glet masom u dva sloja. Sve prema uputi proizvođača i prema pravilima struke. Uključivo sav potreban potrošni materijal prema uputi proizvođača, do potpune gotovosti. Podloga mora biti izvedena kao priprema za bojanje.</t>
    </r>
  </si>
  <si>
    <r>
      <rPr>
        <b/>
        <sz val="10"/>
        <rFont val="Arial"/>
        <family val="2"/>
      </rPr>
      <t xml:space="preserve">Ugradnja podnih tipskih profila </t>
    </r>
    <r>
      <rPr>
        <sz val="10"/>
        <rFont val="Arial"/>
        <family val="2"/>
      </rPr>
      <t>na spoju raznih podova. Profili od aluminija, visine cca 10 mm. Tipski podni dilatacioni profili na spoju dva različita poda, te se polažu u sloj odgovarajućeg građevinskog ljepila. Po postavi profili se polažu prema debljem materijalu i izravnavaju se s visinom profila ili do 1 mm niže, tako da između debljeg materijala i profila ostane 1-3 mm ljepila. Profile rezati na potrebnu mjeru ovisno o stvarnom stanju.</t>
    </r>
  </si>
  <si>
    <r>
      <rPr>
        <b/>
        <sz val="10"/>
        <rFont val="Arial"/>
        <family val="2"/>
      </rPr>
      <t>Ostali pomoćni radovi.</t>
    </r>
    <r>
      <rPr>
        <sz val="10"/>
        <rFont val="Arial"/>
        <family val="2"/>
      </rPr>
      <t xml:space="preserve"> Zidarsko zatvaranje proboja zidova od betona i pregradnih opečnih zidova oko kanala i prolaza instalacija većeg promjera.
Zidarsko krpanje šliceva nakon postave inastalacija manjeg promera.</t>
    </r>
  </si>
  <si>
    <r>
      <t>Bojanje zidova i stropova</t>
    </r>
    <r>
      <rPr>
        <b/>
        <sz val="10"/>
        <rFont val="Arial"/>
        <family val="2"/>
        <charset val="238"/>
      </rPr>
      <t xml:space="preserve"> disperzivnim bojama</t>
    </r>
    <r>
      <rPr>
        <sz val="10"/>
        <rFont val="Arial"/>
        <family val="2"/>
        <charset val="238"/>
      </rPr>
      <t xml:space="preserve"> (na osnovi vodene disperzije sintetskog veziva) za unutrašnje površine. Stavka obuhvaća:</t>
    </r>
  </si>
  <si>
    <t xml:space="preserve">• osnovni i završni premaz bijelom bojom, razrijeđenom vodom - prema uputi proizvođača (krznenim valjkom ili špric) na potpuno osušenoj podlozi. Međuslojni interval nanošenja boje je 5-6 sati.       </t>
  </si>
  <si>
    <t>Izvoditelj će s dužnom pažnjom izvesti i završiti radove po zadanim zahtjevima, a upotrijebljeni materijal, elementi, uređaji i oprema, koje izvođač dobavlja i ugrađuje, mora odgovarati važećim standardima u Republici Hrvatskoj i drugim propisanim standardima, što izvoditelj dokazuje odgovarajućom potvrdom i/ili Izjavom o svojstvima. 
Tolerancije mjera izvedenih radova određene su standardima odnosno uzancama zanata ili prema opisu u projektu. Sva odstupanja od tolerantnih mjera dužan je izvođač otkloniti o svom trošku.</t>
  </si>
  <si>
    <t xml:space="preserve">Izvoditelj je dužan organizirati kontrolu kvalitete radova te provoditi potrebna testiranja i ispitivanja kvalitete materijala i opreme koja se ugrađuje, a u skladu sa postojećim zakonima i propisima. O obavljenom ispitivanju izvoditelj je dužan posjedovati dokaze upotrebljivosti građ. proizvoda izrađenih na gradilištu i na traženje investitora ih predočiti.
Ako Izvoditelj raspolaže svojim laboratorijem za ispitivanje materijala, nadzorni inženjer ima pravo kontrole rada u tom laboratoriju i pravo odluke da li će se u pojedinom slučaju materijal ispitati u tom laboratoriju ili u nekom drugom ovlaštenom laboratoriju.
</t>
  </si>
  <si>
    <t>TROŠKOVNIK STROJARSKIH INSTALACIJA I DIZALA</t>
  </si>
  <si>
    <t>UKUPNO   (01+02+03+04+05) :</t>
  </si>
  <si>
    <t>SVEUKUPNO (01+02+03+04+05) :</t>
  </si>
  <si>
    <t>TROŠKOVNIK GRAĐEVINSKO - OBRTNIČKIH RADOVA</t>
  </si>
  <si>
    <t>TROŠKOVNIK PROMETNIH POVRŠINA</t>
  </si>
  <si>
    <r>
      <rPr>
        <b/>
        <sz val="10"/>
        <rFont val="Arial"/>
        <family val="2"/>
      </rPr>
      <t>04</t>
    </r>
    <r>
      <rPr>
        <sz val="10"/>
        <rFont val="Arial"/>
        <family val="2"/>
      </rPr>
      <t>_TROŠKOVNIK ELEKTROINSTALACIJA:</t>
    </r>
    <r>
      <rPr>
        <sz val="10"/>
        <color rgb="FFFF0000"/>
        <rFont val="Arial"/>
        <family val="2"/>
        <charset val="238"/>
      </rPr>
      <t xml:space="preserve">
</t>
    </r>
    <r>
      <rPr>
        <sz val="10"/>
        <rFont val="Arial"/>
        <family val="2"/>
      </rPr>
      <t>"STEL-ING" d.o.o., Berislavićeva 66, 35000 Slavonski Brod</t>
    </r>
  </si>
  <si>
    <t>PROJEKTANT: Mario Kovačević mag.ing.el</t>
  </si>
  <si>
    <t>TROŠKOVNIK  VODOVODA I KANALIZACIJE</t>
  </si>
  <si>
    <t>PROJEKTANT: Domagoj Bilić, mag.ing.aedif.</t>
  </si>
  <si>
    <r>
      <rPr>
        <b/>
        <sz val="10"/>
        <rFont val="Arial"/>
        <family val="2"/>
      </rPr>
      <t>05</t>
    </r>
    <r>
      <rPr>
        <sz val="10"/>
        <rFont val="Arial"/>
        <family val="2"/>
      </rPr>
      <t>_TROŠKOVNIK VODOVODA I KANALIZACIJE:</t>
    </r>
    <r>
      <rPr>
        <sz val="10"/>
        <color rgb="FFFF0000"/>
        <rFont val="Arial"/>
        <family val="2"/>
        <charset val="238"/>
      </rPr>
      <t xml:space="preserve">
</t>
    </r>
    <r>
      <rPr>
        <sz val="10"/>
        <rFont val="Arial"/>
        <family val="2"/>
      </rPr>
      <t>BLOK6 j.d.o.o., Naselje Andrije Hebranga 6/23, 35000 Slavonski Brod</t>
    </r>
  </si>
  <si>
    <t>PROJEKTANT: Danijel Zolić dipl.ing.stroj.</t>
  </si>
  <si>
    <r>
      <rPr>
        <b/>
        <sz val="10"/>
        <rFont val="Arial"/>
        <family val="2"/>
      </rPr>
      <t>02</t>
    </r>
    <r>
      <rPr>
        <sz val="10"/>
        <rFont val="Arial"/>
        <family val="2"/>
      </rPr>
      <t>_TROŠKOVNIK PROMETNIH POVRŠINA:
VMW PROJEKTNI URED d.o.o., Ulica kralja Tomislava 26, 44000 Sisak</t>
    </r>
  </si>
  <si>
    <t>PROJEKTANT: Luka Miočić mag.ing.aedif.</t>
  </si>
  <si>
    <r>
      <rPr>
        <b/>
        <sz val="10"/>
        <rFont val="Arial"/>
        <family val="2"/>
      </rPr>
      <t>03</t>
    </r>
    <r>
      <rPr>
        <sz val="10"/>
        <rFont val="Arial"/>
        <family val="2"/>
        <charset val="238"/>
      </rPr>
      <t>_TROŠKOVNIK STROJARSKIH INSTALACIJA I DIZALA:
MEP INŽENJERING d.o.o., Kolara V 24, 35000 Slavonski Brod</t>
    </r>
  </si>
  <si>
    <t>PROJEKTANT: Goran Bobinac, dipl.ing.arh.</t>
  </si>
  <si>
    <t>GLAVNI PROJEKTANT: Goran Bobinac, dipl.ing.arh.</t>
  </si>
  <si>
    <t>A+B+C</t>
  </si>
  <si>
    <t>UKUPNO KRAJOBRAZNO UREĐENJE</t>
  </si>
  <si>
    <r>
      <rPr>
        <b/>
        <sz val="10"/>
        <rFont val="Arial"/>
        <family val="2"/>
      </rPr>
      <t>Geodetsko iskolčenje zgrade</t>
    </r>
    <r>
      <rPr>
        <sz val="10"/>
        <rFont val="Arial"/>
        <family val="2"/>
      </rPr>
      <t xml:space="preserve">, sa izradom potrebne drvene nanosne skele. U cijeni izrada Elaborata iskolčenja i elaborat izvedene građevine i instalacija sa provedbom u katastru. Ova stavka obuhvaća sve što nije obuhvaćeno stavkom "Troškovnika prometnih površina: Pripremni radovi 1.1. " </t>
    </r>
  </si>
  <si>
    <r>
      <rPr>
        <b/>
        <sz val="10"/>
        <rFont val="Arial"/>
        <family val="2"/>
      </rPr>
      <t>Dobava i izvedba privremene ograde</t>
    </r>
    <r>
      <rPr>
        <sz val="10"/>
        <rFont val="Arial"/>
        <family val="2"/>
      </rPr>
      <t xml:space="preserve"> na granici zone zahvata koja se sastoji od montažnih metalnih okvira s ispunom oslonjenih na betonske montažne temelje. Ograda je opremljena s kosnicima za osiguranje od prevrtanja. Visina ograde min. 2,00m. Sadrži dvoja pješačka vrata dimenzija 100/200cm i dvoja kolna vrata dimenzija 400/200cm, u svemu prema shemi organizacije gradilišta.</t>
    </r>
  </si>
  <si>
    <r>
      <rPr>
        <b/>
        <sz val="10"/>
        <rFont val="Arial"/>
        <family val="2"/>
      </rPr>
      <t>Čišćenje gradilišta</t>
    </r>
    <r>
      <rPr>
        <sz val="10"/>
        <rFont val="Arial"/>
        <family val="2"/>
      </rPr>
      <t xml:space="preserve"> prije početka radova od sveg materijala i predmeta, pohranjivanje korisnih predmeta u dogovoru s investitorom, s odvozom nekorisnog materijala na gradski deponij. </t>
    </r>
  </si>
  <si>
    <r>
      <rPr>
        <b/>
        <sz val="10"/>
        <rFont val="Arial"/>
        <family val="2"/>
      </rPr>
      <t>Čišćenje okoliša nakon završetka</t>
    </r>
    <r>
      <rPr>
        <sz val="10"/>
        <rFont val="Arial"/>
        <family val="2"/>
      </rPr>
      <t xml:space="preserve"> svih radova s odvozom otpada i zaostalog građevinskog materijala na gradski deponij. </t>
    </r>
  </si>
  <si>
    <r>
      <rPr>
        <b/>
        <sz val="10"/>
        <rFont val="Arial"/>
        <family val="2"/>
      </rPr>
      <t>Čišćenje objekta</t>
    </r>
    <r>
      <rPr>
        <sz val="10"/>
        <rFont val="Arial"/>
        <family val="2"/>
      </rPr>
      <t xml:space="preserve"> tijekom gradnje, sakupljanje otpadnog materijala i odvoz na gradski depo. Predviđeno je 3X čišćenje tijekom gradnje.</t>
    </r>
  </si>
  <si>
    <r>
      <rPr>
        <b/>
        <sz val="10"/>
        <rFont val="Arial"/>
        <family val="2"/>
      </rPr>
      <t xml:space="preserve">Uređenje gradilišta. </t>
    </r>
    <r>
      <rPr>
        <sz val="10"/>
        <rFont val="Arial"/>
        <family val="2"/>
      </rPr>
      <t>Dobava i postavljanje ograda, znakova, radionica, ureda Izvođača i ostalih potrebnih objekata za izvođenje radova kao i ureda za osoblje nadzornog inženjera, osiguranje pristupa gradilištu i razne usluge za funkcioniranje gradilišta. Osiguranje mjera zaštite na radu tijekom izgradnje. U cijenu uračunati i radove izrade privremenih priključaka gradilišta na elektroenergetsku i vodovodnu mrežu. Također, u cijenu uračunati i uklanjanje svih privremenih objekata (eventualne postojeće instalacije i infrastrukture) tijekom izgradnje.</t>
    </r>
  </si>
  <si>
    <t xml:space="preserve">Odnose se na zemljane radove novog dijela zgrade. Zemljani radovi koji se odnose na prometne površine (kolne i nogostupe obrađeni su u troškovniku prometnih površina, a zemljani radovi ozelenjenog okoliša zgrade, pješačkih rampi i vanjskih stenica kao i opločenog ophoda na sjevernoj strani rekonstruiranog dijela obrađeni su u dijelu krajobraznog uređenja. </t>
  </si>
  <si>
    <r>
      <rPr>
        <b/>
        <sz val="10"/>
        <rFont val="Arial"/>
        <family val="2"/>
      </rPr>
      <t>Uklanjanje asfaltiranih površina nogostupa i parkirališta</t>
    </r>
    <r>
      <rPr>
        <sz val="10"/>
        <rFont val="Arial"/>
        <family val="2"/>
      </rPr>
      <t xml:space="preserve"> u zoni obuhvata predmetnog projekta.
Stavka obuhvaća strojni iskop postojećih asfaltiranih površina nogostupa i parkirališta. Debljina sloja asfalta na parkiralištu iznosi 10 cm (sukladno Geotehničkom elaboratu TD 20021, od srpanj 2020.), dok se za nogostup pretpostavlja debljina sloja od 5 cm. 
Radove treba obaviti bez nanošenja štete na ostalim objektima i posjedima uz cestu.
Stavka obuhvaća i pronalaženje deponije, odvoz uklonjenog materijala na deponiju i sve troškove deponiranja. Stvaranu količinu uklonjenog materijala potrebno je upisati u građevinski dnevnik. Izvođač je dužan dokazati popratnim listom otpada da je isti zbrinut na propisani način.</t>
    </r>
  </si>
  <si>
    <t xml:space="preserve">Zemljani i pripremni radovi za objekt i prometne površine i zemljani radovi na okolišu se isprepliću/nadopunjuju pa je u svrhu izračuna količina zadana zona obuhvata - razgraničenja zemljanih radova. Zona obuhvata zemljanih radova za objekt je 2.00m oko konture građevine. </t>
  </si>
  <si>
    <r>
      <rPr>
        <b/>
        <sz val="10"/>
        <rFont val="Arial"/>
        <family val="2"/>
        <charset val="238"/>
      </rPr>
      <t>Iskop jama</t>
    </r>
    <r>
      <rPr>
        <sz val="10"/>
        <rFont val="Arial"/>
        <family val="2"/>
        <charset val="238"/>
      </rPr>
      <t xml:space="preserve"> ispod kote širokog iskopa u terenu 3 kat. s utovarom u kamione. Iskop s pokosom, a  propadalište dizala i unutarnje stubište pokraj dizala.  Dubina iskopa do 1,76m (0,94 m ispod širokog iskopa). Kota dna iskopa -3,36 (96,44 m.n.v).  Sastav tla prema geotehničkom elaboratu.               </t>
    </r>
  </si>
  <si>
    <r>
      <t xml:space="preserve">Strojni </t>
    </r>
    <r>
      <rPr>
        <b/>
        <sz val="10"/>
        <rFont val="Arial"/>
        <family val="2"/>
      </rPr>
      <t xml:space="preserve">široki iskop </t>
    </r>
    <r>
      <rPr>
        <sz val="10"/>
        <rFont val="Arial"/>
        <family val="2"/>
      </rPr>
      <t xml:space="preserve">u terenu 3 kat. za smještaj građevine, sa pokosom građevinske jame 1:1 /dubina:širina/ i utovarom u kamione. Dubina iskopa 0,82 m. Kota dna iskopa -2,42 (97,38 m.n.v).  Sastav tla prema geotehničkom elaboratu.                                                  </t>
    </r>
  </si>
  <si>
    <r>
      <rPr>
        <b/>
        <sz val="10"/>
        <rFont val="Arial"/>
        <family val="2"/>
        <charset val="238"/>
      </rPr>
      <t xml:space="preserve">Planiranje-niveliranje </t>
    </r>
    <r>
      <rPr>
        <sz val="10"/>
        <rFont val="Arial"/>
        <family val="2"/>
        <charset val="238"/>
      </rPr>
      <t>dna građevinske jame s točnošću ± 3 cm i stabilizacija dna jame tem. ploče. Kompaktirati vibro-valjkom na modul stišljivosti mjeren kružnom pločom Ø 30 cm Ms ≥ 20 MN/m2. Uključivo izvedba denivelacije (propadalište dizala i malog unutarnjeg stubišta). Sve po odobrenju i uputama geomehanike i nadzora. Izvodi se na dijelu ispod tem. ploče s iskopom.</t>
    </r>
  </si>
  <si>
    <t xml:space="preserve">U organizaciji gradilišta predvidjeti depo za sav iskopani materijal. Iskop se koristi za nasipavanje parcele. </t>
  </si>
  <si>
    <r>
      <rPr>
        <b/>
        <sz val="10"/>
        <rFont val="Arial"/>
        <family val="2"/>
        <charset val="238"/>
      </rPr>
      <t>Transport</t>
    </r>
    <r>
      <rPr>
        <sz val="10"/>
        <rFont val="Arial"/>
        <family val="2"/>
        <charset val="238"/>
      </rPr>
      <t xml:space="preserve"> iskopanog zemljanog materijala 3. kategorije s mjesta iskopa </t>
    </r>
    <r>
      <rPr>
        <b/>
        <sz val="10"/>
        <rFont val="Arial"/>
        <family val="2"/>
        <charset val="238"/>
      </rPr>
      <t>na depo radilišta</t>
    </r>
    <r>
      <rPr>
        <sz val="10"/>
        <rFont val="Arial"/>
        <family val="2"/>
        <charset val="238"/>
      </rPr>
      <t>. Prosječna udaljnost deponija do 90m. Za potrebe nasipavanja, zatrpavanja i planiranja na građevini i na parceli.</t>
    </r>
  </si>
  <si>
    <r>
      <rPr>
        <b/>
        <sz val="10"/>
        <rFont val="Arial"/>
        <family val="2"/>
      </rPr>
      <t>Izrada nabijenog tamponskog sloja</t>
    </r>
    <r>
      <rPr>
        <sz val="10"/>
        <rFont val="Arial"/>
        <family val="2"/>
      </rPr>
      <t xml:space="preserve"> tucanika  prirodne granulacije u deb. 30 cm ispod temeljne podne ploče  do sloja nosivog tla. Završni sloj mora biti potpuno horizontalan prema projektu. Kompaktirati vibro-valjkom na modul stišljivosti mjeren kružnom pločom Ø 30 cm Ms ≥ 40 MN/m2. Radove uskladiti s geomehaničkim elaboratom, uvidom na terenu i u konzultaciji s nadzornim inženjerom i projektantom. U cijenu je uključena i dobava i postava sloja geotekstila (300g/m2), ispod sloja drobljenca. Obračun po m³  ugrađenog i zbijenog agregata.</t>
    </r>
  </si>
  <si>
    <r>
      <rPr>
        <b/>
        <sz val="10"/>
        <rFont val="Arial"/>
        <family val="2"/>
        <charset val="238"/>
      </rPr>
      <t>Zatrpavanje vanjskih zidova</t>
    </r>
    <r>
      <rPr>
        <sz val="10"/>
        <rFont val="Arial"/>
        <family val="2"/>
        <charset val="238"/>
      </rPr>
      <t xml:space="preserve"> građevine. Izvesti ostatkom šljunka i ostatkom zemlje iz iskopa (uključivo dovoz iz depoa), uz grubo poravnavanje nivelete. Stavka obuhvaća dobavu, dovoz, razastiranje, planiranje i zbijanje. Sve u slojevima do 30 cm, kompaktirati vibro-valjkom na modul stišljivosti mjeren kružnom pločom Ø 30 cm Ms ≥ 30 MN/m2. </t>
    </r>
  </si>
  <si>
    <t>C.1.</t>
  </si>
  <si>
    <t>Uklanjanje stabala i grmlja koje nije predviđeno troškovnikom prometnih površina.</t>
  </si>
  <si>
    <t>Uklanjanje drveća i panjeva Ø većeg od 30 cm.
U stavku uključeno uklanjanje niskog raslinja, grmlja, šiblja, deponiranog organskog otpada biljnog porijekla, košnje trave i korova, vađenje korijena, te utovar i odvoz otpadnog materijala na ovlaštenu deponiju uključujući i pristojbe za istu. Stavka uključuje obaranje stabala na licu mjesta, uz kresanje grana i vađenje korijena. Utovar i odvoz otpadnog materijala biljnog porijekla na ovlaštenu deponiju, uključivo i pristojbe za istu. U slučaju nemogućnosti obaranja stabla s razine tla, ista je potrebno rezati metodom odozgo prema dolje uz uporabu svih mjera zaštite na radu. Nastale rupe nakon uklanjanja panjeva/korijena, potrebno zatrpati zemljanim materijalom bez primjese otpada.</t>
  </si>
  <si>
    <r>
      <rPr>
        <b/>
        <sz val="10"/>
        <rFont val="Arial"/>
        <family val="2"/>
      </rPr>
      <t>Uklanjanje asfaltiranih površina nogostupa i parkirališta</t>
    </r>
    <r>
      <rPr>
        <sz val="10"/>
        <rFont val="Arial"/>
        <family val="2"/>
        <charset val="238"/>
      </rPr>
      <t xml:space="preserve"> u zoni obuhvata krajobraznog uređenja; odnosi se na prostor pješačkih rampi i vanjskih stubišta, ophod uz sjeverno pročelje postojećeg  rekonstruiranog dijela zgrade i travnate površine.
Stavka obuhvaća strojni iskop postojećih asfaltiranih površina nogostupa i parkirališta. Debljina sloja asfalta na parkiralištu iznosi 10 cm (sukladno Geotehničkom elaboratu TD 20021, od srpanj 2020.), dok se za nogostup pretpostavlja debljina sloja od 5 cm. 
Radove treba obaviti bez nanošenja štete na ostalim objektima i posjedima uz cestu.
Stavka obuhvaća i pronalaženje deponije, odvoz uklonjenog materijala na deponiju i sve troškove deponiranja. Stvaranu količinu uklonjenog materijala potrebno je upisati u građevinski dnevnik. Izvođač je dužan dokazati popratnim listom otpada da je isti zbrinut na propisani način.</t>
    </r>
  </si>
  <si>
    <t>• za pješačke rampe i vanjska stubišta</t>
  </si>
  <si>
    <t>ZAŠTITA OD SUNCA</t>
  </si>
  <si>
    <t>Izrada, dobava i montaža vanjskih i unutarnjih aluminijskih vrata, prozora i stijena iz plastificiranih aluminijskih profila s prekinutim toplinskim mostom, antracit boje, polusjaj. Ostakljena bravarija sadržava troslojno reflektirajuće izo staklo sa low-e premazom 4+16+4+16+4 mm, Uw &lt;= 1.4 W/(m2K), Ug&lt; =  0,7 W/m2K. Staklo u zoni parapeta, te staklene stijene i vrata od sigurnosnog stakla. U stavci je uračunat sav potreban okov. RAL ugradnja. U cijenu je uračunat sav potreban rad i materijal. U stavku je uračunat horizontalni i vertikalni transport.
Uključivo zaštita od sunca. Obračun po kom.</t>
  </si>
  <si>
    <t>• za travnjak</t>
  </si>
  <si>
    <t>Sjetva travnog sjemena s zagrabljivanjem i valjanjem. Sije se 5 dkg sjemena po m2 i posipa sa 4 litre treseta po m2.</t>
  </si>
  <si>
    <t>Planiranje i valjanje posteljice nakon iskopa i priprema za polaganje i polaganje geotekstila 300,0 g/m2 kao podloge za nasip tampona.</t>
  </si>
  <si>
    <r>
      <rPr>
        <b/>
        <sz val="10"/>
        <rFont val="Arial"/>
        <family val="2"/>
        <charset val="238"/>
      </rPr>
      <t>Oplata unutarnjih stubišnih kosih ploča</t>
    </r>
    <r>
      <rPr>
        <sz val="10"/>
        <rFont val="Arial"/>
        <family val="2"/>
        <charset val="238"/>
      </rPr>
      <t xml:space="preserve"> deb. 18cm sa stepenica vel. 30/16.80cm i 30/16.50cm, velikoplošna, od oplatnih elemenata, ravne površine uključivo bočnu oplatu  gazišta, kose izvedbe. Sve za ravnu, glatku izvedbu. Izrada, montaža i demontaža oplate. Visina podupiranja za konstruktivnu visinu 3.38m, 3.35m.</t>
    </r>
  </si>
  <si>
    <r>
      <t>Armiranobetonske</t>
    </r>
    <r>
      <rPr>
        <b/>
        <sz val="10"/>
        <rFont val="Arial"/>
        <family val="2"/>
      </rPr>
      <t xml:space="preserve"> kose stubišne ploče i stube</t>
    </r>
    <r>
      <rPr>
        <sz val="10"/>
        <rFont val="Arial"/>
        <family val="2"/>
      </rPr>
      <t xml:space="preserve"> novog dijela zgrade, kose ploče deb. 18 cm sa stepenicama 30/16,50 cm i 30/16.80 cm u oplati od oplatnih elemenata. Dobava betona, ugradba u konstrukciju i zaštita, završna ravna, glatka izvedba. Beton C 25/30.</t>
    </r>
  </si>
  <si>
    <r>
      <rPr>
        <b/>
        <sz val="10"/>
        <rFont val="Arial"/>
        <family val="2"/>
      </rPr>
      <t>Strojni</t>
    </r>
    <r>
      <rPr>
        <sz val="10"/>
        <rFont val="Arial"/>
        <family val="2"/>
      </rPr>
      <t xml:space="preserve"> </t>
    </r>
    <r>
      <rPr>
        <b/>
        <sz val="10"/>
        <rFont val="Arial"/>
        <family val="2"/>
      </rPr>
      <t xml:space="preserve">široki iskop </t>
    </r>
    <r>
      <rPr>
        <sz val="10"/>
        <rFont val="Arial"/>
        <family val="2"/>
      </rPr>
      <t xml:space="preserve">u terenu 3 kat. za smještaj pješačkih rampi i vanjskih stubišta, te opločenog nogostupa uz sjeverno pročelje postojećeg dijela zgrade, sa pokosom građevinske jame 1:1 /dubina:širina/ i utovarom u kamione, . Dubina 30 cm, kota dna iskopa promjenjivo, prema projektu.  Sastav tla prema geotehničkom elaboratu.                                                  </t>
    </r>
  </si>
  <si>
    <r>
      <rPr>
        <b/>
        <sz val="10"/>
        <rFont val="Arial"/>
        <family val="2"/>
        <charset val="238"/>
      </rPr>
      <t>Iskop jama</t>
    </r>
    <r>
      <rPr>
        <b/>
        <sz val="10"/>
        <rFont val="Arial"/>
        <family val="2"/>
      </rPr>
      <t xml:space="preserve"> pješačkih rampi i vanjskih stubišta</t>
    </r>
    <r>
      <rPr>
        <sz val="10"/>
        <rFont val="Arial"/>
        <family val="2"/>
        <charset val="238"/>
      </rPr>
      <t xml:space="preserve"> ispod kote širokog iskopa u terenu 3 kat. s utovarom u kamione. Iskop s pokosom, za  pješačke rampe i vanjska stubišta.  Dubina iskopa do 0,50 m ispod širokog iskopa, kota dna iskopa promjenjivo, prema projektu.  Sastav tla prema geotehničkom elaboratu.               </t>
    </r>
  </si>
  <si>
    <r>
      <t>Armiranobetonski</t>
    </r>
    <r>
      <rPr>
        <b/>
        <sz val="10"/>
        <rFont val="Arial"/>
        <family val="2"/>
        <charset val="238"/>
      </rPr>
      <t xml:space="preserve"> temeljni zidovi vanjske južne pješačke rampe </t>
    </r>
    <r>
      <rPr>
        <sz val="10"/>
        <rFont val="Arial"/>
        <family val="2"/>
        <charset val="238"/>
      </rPr>
      <t xml:space="preserve">deb. 30cm u dvostranoj oplati, beton C 25/30. Dobava betona, ugradba u konstrukciju i zaštita, završno ravna, glatka izvedba.  </t>
    </r>
  </si>
  <si>
    <r>
      <t>Armiranobetonski</t>
    </r>
    <r>
      <rPr>
        <b/>
        <sz val="10"/>
        <rFont val="Arial"/>
        <family val="2"/>
        <charset val="238"/>
      </rPr>
      <t xml:space="preserve"> temeljni zidovi vanjske sjeverne pješačke rampe </t>
    </r>
    <r>
      <rPr>
        <sz val="10"/>
        <rFont val="Arial"/>
        <family val="2"/>
        <charset val="238"/>
      </rPr>
      <t xml:space="preserve">deb. 30cm u dvostranoj oplati, beton C 25/30. Dobava betona, ugradba u konstrukciju i zaštita, završno ravna, glatka izvedba.  </t>
    </r>
  </si>
  <si>
    <r>
      <t>Armiranobetonski</t>
    </r>
    <r>
      <rPr>
        <b/>
        <sz val="10"/>
        <rFont val="Arial"/>
        <family val="2"/>
        <charset val="238"/>
      </rPr>
      <t xml:space="preserve"> temeljni zidovi vanjskog južnog pješačkog stubišta </t>
    </r>
    <r>
      <rPr>
        <sz val="10"/>
        <rFont val="Arial"/>
        <family val="2"/>
        <charset val="238"/>
      </rPr>
      <t xml:space="preserve">deb. 30cm u dvostranoj oplati, beton C 25/30. Dobava betona, ugradba u konstrukciju i zaštita, završno ravna, glatka izvedba.  </t>
    </r>
  </si>
  <si>
    <r>
      <t>Armiranobetonski</t>
    </r>
    <r>
      <rPr>
        <b/>
        <sz val="10"/>
        <rFont val="Arial"/>
        <family val="2"/>
        <charset val="238"/>
      </rPr>
      <t xml:space="preserve"> temeljni zidovi vanjskog sjevernog pješačkog stubišta </t>
    </r>
    <r>
      <rPr>
        <sz val="10"/>
        <rFont val="Arial"/>
        <family val="2"/>
        <charset val="238"/>
      </rPr>
      <t xml:space="preserve">deb. 30cm u dvostranoj oplati, beton C 25/30. Dobava betona, ugradba u konstrukciju i zaštita, završno ravna, glatka izvedba.  </t>
    </r>
  </si>
  <si>
    <t>PRIPREMNI RADOVI PJEŠAČKIH RAMPI I VANJSKIH STUBIŠTA</t>
  </si>
  <si>
    <r>
      <rPr>
        <b/>
        <sz val="10"/>
        <rFont val="Arial"/>
        <family val="2"/>
      </rPr>
      <t>Oplata</t>
    </r>
    <r>
      <rPr>
        <sz val="10"/>
        <rFont val="Arial"/>
        <family val="2"/>
      </rPr>
      <t xml:space="preserve"> </t>
    </r>
    <r>
      <rPr>
        <b/>
        <sz val="10"/>
        <rFont val="Arial"/>
        <family val="2"/>
      </rPr>
      <t>arm. bet. zidova vanjskih stepenica i zidova rampe</t>
    </r>
    <r>
      <rPr>
        <sz val="10"/>
        <rFont val="Arial"/>
        <family val="2"/>
      </rPr>
      <t xml:space="preserve"> </t>
    </r>
    <r>
      <rPr>
        <b/>
        <sz val="10"/>
        <rFont val="Arial"/>
        <family val="2"/>
      </rPr>
      <t>dvostrana</t>
    </r>
    <r>
      <rPr>
        <sz val="10"/>
        <rFont val="Arial"/>
        <family val="2"/>
      </rPr>
      <t>, velikoplošna od oplatnih elemenata, za ravnu glatku izvedbu. Izrada, postavljanje i skidanje. Debljina zidova 30cm.</t>
    </r>
  </si>
  <si>
    <t>Zemljani i pripremni radovi u ovom troškovniku pod "A Građevinski radovi" obuhvaćaju zemljane radove na objektu.</t>
  </si>
  <si>
    <t xml:space="preserve">Svi pripremni i zemljani radovi iskopa, nasipavanja i planiranja za potrebe okoliša ili pristupnih cesta i parkirališta s nogostupom su obuhvaćeni u dijelu uređenja okoliša ("C Krajobrazno uređenje") i troškovnicima pripadajućih projekata. </t>
  </si>
  <si>
    <r>
      <t>Armiranobetonski</t>
    </r>
    <r>
      <rPr>
        <b/>
        <sz val="10"/>
        <rFont val="Arial"/>
        <family val="2"/>
      </rPr>
      <t xml:space="preserve"> vanjski zidovi</t>
    </r>
    <r>
      <rPr>
        <sz val="10"/>
        <rFont val="Arial"/>
        <family val="2"/>
      </rPr>
      <t xml:space="preserve"> (sjeverno i južno pročelje) novog dograđenog dijela deb. 25cm u dvostranoj oplati, zadane marke betona. Dobava betona, ugradba u konstrukciju i zaštita, završno ravna, glatka izvedba. Visina ziđa za konstruktivnu visinu etaža suterena 2,91m, priz., 1. i 2. kata 3,30m. Uključivo AB krovni vijenac.</t>
    </r>
  </si>
  <si>
    <t xml:space="preserve">Opločenje podova pješačkih rampi i vanjskih stubišta vanjskim protusmrzavajućim  podnim gres pločicama I klase, protukliznost klasifikacijske grupe min. R11. Pločice polagati u visokofleksibilno ljepilo za keramičke pločice, izvedba reška na rešku, naglašene reške zapuniti masom za fugiranje. Uključivo brtvljenje sudarne reške s zidovima, i sav ostali potreban potrošni materijal. Na rubove opločenja ugraditi tipske profile. Način polaganja u dogovoru s projektantom. Širina fuga do 2 mm. Fuge se ispunjavaju masom za fugiranje u boji po izboru projektanta/investitora. Rezanje, brušenje, fugiranje i čišćenje opločenja sadržano je u jediničnoj cijeni. Pod se izvodi u padu prema bočnim rubovima stubišta i rampi. </t>
  </si>
  <si>
    <t>Izvedba i obrada nadtemeljnih zidova (bočnih stranica) pješačkih rampi i vanjskih stubišta završnom mozaik vododbojnom žbukom za žbukanje zidova pod utjecajem kapilarne vlage, u boji po izboru projektanta na impregnatu, debljine 2 mm, na bočnim stranicama,  preko polimercementne žbuke armirane alkalno otpornom mrežicom. Izvedba u svemu prema uputstvu proizvođača.
Pripremu podloge, materijala i način primjene izvesti u svemu prema uputama proizvođača.</t>
  </si>
  <si>
    <t>PJEŠAČKA POVRŠINA</t>
  </si>
  <si>
    <t>Popločavanje pješačke staze (uz sjeverno pročelje postojećeg dijela zgrade) betonskim pločama 60x30x5 cm na sloju tucanika 4-8mm debljine 10 cm, na protusmrzavajućoj podlozi debljine od zbijenog šljunka ili drobljenog kamena frakcije 0-63. Fuge ispuniti kvarcnim pijeskom. Boja i oblik ploča po izboru Projektanta. Ugradnja u svemu prema preporuci proizvođača. U cijenu uključen komplet rad i materijak do pune gotovosti. Obračun po m2.</t>
  </si>
  <si>
    <t>C.2.</t>
  </si>
  <si>
    <t>C.3.</t>
  </si>
  <si>
    <t>C.4.</t>
  </si>
  <si>
    <t>C.5.</t>
  </si>
  <si>
    <t>A.5.</t>
  </si>
  <si>
    <t>Uključeni radovi rušenja i demontaže</t>
  </si>
  <si>
    <r>
      <t>Armiranobetonski</t>
    </r>
    <r>
      <rPr>
        <b/>
        <sz val="10"/>
        <rFont val="Arial"/>
        <family val="2"/>
      </rPr>
      <t xml:space="preserve"> vanjski zidovi</t>
    </r>
    <r>
      <rPr>
        <sz val="10"/>
        <rFont val="Arial"/>
        <family val="2"/>
      </rPr>
      <t xml:space="preserve"> (istočno i zapadno pročelje) novog dograđenog dijela deb. 20cm u dvostranoj oplati, zadane marke betona. Dobava betona, ugradba u konstrukciju i zaštita, završno ravna, glatka izvedba. Visina ziđa za konstruktivnu visinu etaža suterena 2,91m, priz., 1. i 2. kata 3,30m. Uključivo AB krovni vijenac. </t>
    </r>
  </si>
  <si>
    <r>
      <t xml:space="preserve">Armiranobetonski </t>
    </r>
    <r>
      <rPr>
        <b/>
        <sz val="10"/>
        <rFont val="Arial"/>
        <family val="2"/>
      </rPr>
      <t>unutarnji zidovi</t>
    </r>
    <r>
      <rPr>
        <sz val="10"/>
        <rFont val="Arial"/>
        <family val="2"/>
      </rPr>
      <t xml:space="preserve">  novog dograđenog dijela deb. 20cm u dvostranoj oplati, zadane marke betona. Dobava betona, ugradba u konstrukciju i zaštita, završno ravna, glatka izvedba. Visina ziđa za konstruktivnu visinu etaža suterena 2,91m, priz., 1. i 2. kata 3,30m. Uključivo zidove propadališta (ispod kote tem. ploče) za dizalo i unutarnje stubište.</t>
    </r>
  </si>
  <si>
    <r>
      <t xml:space="preserve">Armiranobetonski </t>
    </r>
    <r>
      <rPr>
        <b/>
        <sz val="10"/>
        <rFont val="Arial"/>
        <family val="2"/>
      </rPr>
      <t xml:space="preserve">unutarnji zidovi </t>
    </r>
    <r>
      <rPr>
        <sz val="10"/>
        <rFont val="Arial"/>
        <family val="2"/>
      </rPr>
      <t xml:space="preserve"> dizala deb. 20cm u dvostranoj oplati, zadane marke betona. Dobava betona, ugradba u konstrukciju i zaštita, završno ravna, glatka izvedba. Visina ziđa za konstruktivnu visinu etaža suterena 2,91m, priz., 1. i 2. kata 3,30m.</t>
    </r>
  </si>
  <si>
    <t>UKUPNO TESARSKI RADOVI:</t>
  </si>
  <si>
    <t>GIPS KARTONSKI RADOVI</t>
  </si>
  <si>
    <t>UKUPNO FASADERSKI RADOVI</t>
  </si>
  <si>
    <t>A.</t>
  </si>
  <si>
    <t>B.</t>
  </si>
  <si>
    <t xml:space="preserve">Izrada, dobava i montaža drvenih vrata ili stijena zadanog broja krila i načina otvaranja, unutarnja za suhu ugradnju sa ili bez nadsvjetla.                                                                                               </t>
  </si>
  <si>
    <t>TRAVA</t>
  </si>
  <si>
    <r>
      <rPr>
        <b/>
        <sz val="10"/>
        <rFont val="Arial"/>
        <family val="2"/>
      </rPr>
      <t>01</t>
    </r>
    <r>
      <rPr>
        <sz val="10"/>
        <rFont val="Arial"/>
        <family val="2"/>
      </rPr>
      <t>_TROŠKOVNIK GRAĐEVINSKO-OBRTNIČKIH RADOVA:</t>
    </r>
    <r>
      <rPr>
        <sz val="10"/>
        <color rgb="FFFF0000"/>
        <rFont val="Arial"/>
        <family val="2"/>
        <charset val="238"/>
      </rPr>
      <t xml:space="preserve">
</t>
    </r>
    <r>
      <rPr>
        <sz val="10"/>
        <rFont val="Arial"/>
        <family val="2"/>
      </rPr>
      <t>ARHITEKTeD 411 d.o.o., Capraška ulica 12, 44010 Sisak</t>
    </r>
  </si>
  <si>
    <t>Ukoliko se stavkom troškovnika traži materijal koji nije obuhvaćen propisima, treba se u svemu izvesti prema uputama proizvođača, te garancijom i atestima za to ovlaštenih ustanova.</t>
  </si>
  <si>
    <t>Zahtjevane karakteristike hidroizolacijskih materijala na osnovi polimera:</t>
  </si>
  <si>
    <t>Dobava i postava podzemne hidroizolacije polimerbitumenskom trakom za zavarivanje sa uloškom staklenog voala u dva sloja, d=1 cm, izvodi se s preklopima 10 cm. U stavku je uključena i priprema prije postave bitumenske trake: podlogu treba otprašiti i premazati hladnim bitumenskim premazom.
Hidroizolacija vanjskih pješačkih rampi i vanjskih stubišta izvodi se hidroizolacijskim dvokomponentnim visokofleksibilnim polimer cmenetnim premazom, na bazi cementa modificiranog polimerima uz dodatak agregata fine granulacije. Premaz se nanosi  u svemu prema tehničkom listu i uputama proizvođača, na pripremljenu betonsku podlogu.   Površinu pripremiti za postavljanje završne obloge, gres pločice.</t>
  </si>
  <si>
    <t>Zahtjevane karakteristike polimercementnih hidroizolacijskih materijala i priprema podloge:</t>
  </si>
  <si>
    <t>Zahtjevane karakteristike hidroizolacijskih materijala na osnovi bitumena  s uloškom staklenog voala:</t>
  </si>
  <si>
    <r>
      <t>Dobava i postava</t>
    </r>
    <r>
      <rPr>
        <b/>
        <sz val="10"/>
        <rFont val="Arial"/>
        <family val="2"/>
      </rPr>
      <t xml:space="preserve"> parne brane</t>
    </r>
    <r>
      <rPr>
        <sz val="10"/>
        <rFont val="Arial"/>
        <family val="2"/>
      </rPr>
      <t xml:space="preserve"> na bazi bitumena  sa AL slojem. Membrana se lijepi na bet. podlogu pripremljenu sa temeljnim bitumenskim premazom.</t>
    </r>
  </si>
  <si>
    <r>
      <t xml:space="preserve">Izrada pregradnih zidova od </t>
    </r>
    <r>
      <rPr>
        <b/>
        <sz val="10"/>
        <rFont val="Arial"/>
        <family val="2"/>
        <charset val="238"/>
      </rPr>
      <t>otežanih gipskartonskih ploča</t>
    </r>
    <r>
      <rPr>
        <sz val="10"/>
        <rFont val="Arial"/>
        <family val="2"/>
        <charset val="238"/>
      </rPr>
      <t xml:space="preserve"> ukupne deb. 10cm. Metalna podkonstrukcija od pocinčanih čel. horizontalnih  i vertikalnih profila deb. 0,60 mm, šir. 50 mm. Obostrana dvostruka obloga od otežanih gipskartonskih ploča deb. 1,25 cm. Ispuna međuprostora s mineralnom vunom deb. 4cm. Izrada zida i sve radnje obrade spojeva i detalja kod spajanja na obodne konstrukcije prema normama i uputstvu proizvođača. Obrada površine u razredu kvalitete </t>
    </r>
    <r>
      <rPr>
        <b/>
        <sz val="10"/>
        <rFont val="Arial"/>
        <family val="2"/>
        <charset val="238"/>
      </rPr>
      <t>K3</t>
    </r>
    <r>
      <rPr>
        <sz val="10"/>
        <rFont val="Arial"/>
        <family val="2"/>
        <charset val="238"/>
      </rPr>
      <t xml:space="preserve"> u deb. 2mm. Uključivo izvedba svih potrebnih otvora, sa svim potrebnim materijalom, u svemu prema uputama proizvođača.</t>
    </r>
  </si>
  <si>
    <r>
      <rPr>
        <sz val="10"/>
        <rFont val="Arial"/>
        <family val="2"/>
      </rPr>
      <t xml:space="preserve">Izrada zidne obloge kao </t>
    </r>
    <r>
      <rPr>
        <b/>
        <sz val="10"/>
        <rFont val="Arial"/>
        <family val="2"/>
      </rPr>
      <t>predzidna obloga slobodnostojeća ili kao obloga šahta/instalacijske vertikale</t>
    </r>
    <r>
      <rPr>
        <sz val="10"/>
        <rFont val="Arial"/>
        <family val="2"/>
      </rPr>
      <t xml:space="preserve"> slobodno stojeća. Metalna podkonstrukcija od pocinčanih čel. horizontalnih i vertikalnih profila deb. 0,60 mm, šir. 100 mm. Ugradnja u arm. bet. konstrukciju. Ispuna izolacijskim slojem min. vune</t>
    </r>
    <r>
      <rPr>
        <sz val="10"/>
        <color rgb="FFFF0000"/>
        <rFont val="Arial"/>
        <family val="2"/>
        <charset val="238"/>
      </rPr>
      <t xml:space="preserve">  </t>
    </r>
    <r>
      <rPr>
        <sz val="10"/>
        <rFont val="Arial"/>
        <family val="2"/>
      </rPr>
      <t>deb. 5cm. Obloga jednostrana od otežanih gipskartonskih ploča deb. 2x1,25 cm.  Izrada obloge i sve radnje obrade spojeva i detalja kod spajanja na obodne konstrukcije, prema normama i uputstvu proizvođača. Obrada površine u razredu kvalitete K3) u deb, 2mm.</t>
    </r>
  </si>
  <si>
    <r>
      <t xml:space="preserve">Dobava i ugradnja dva sloja top.izolacije podova. Donji sloj od ekstrudiranog polistirena </t>
    </r>
    <r>
      <rPr>
        <b/>
        <sz val="10"/>
        <rFont val="Arial"/>
        <family val="2"/>
        <charset val="238"/>
      </rPr>
      <t>XPS</t>
    </r>
    <r>
      <rPr>
        <sz val="10"/>
        <rFont val="Arial"/>
        <family val="2"/>
        <charset val="238"/>
      </rPr>
      <t xml:space="preserve"> za pod na tlu (gustoće 30 kg/m3, tlačne čvrstoće 0,3 N/mm2 s λ ≤ 0.035)  zadane debljine. Ploče tijesno sljubljene. </t>
    </r>
  </si>
  <si>
    <t>• za fasade, ploče debljine 14 cm</t>
  </si>
  <si>
    <r>
      <t>Ustakljenja izvesti IZO staklom s pojačanom toplinskom zaštitom, ispuna inertnim plinom i korištenjem LOW-e stakla u sustavu. Najveća dopuštena vrijednost koeficijenta prolaska topline ostakljenog dijela (U</t>
    </r>
    <r>
      <rPr>
        <sz val="9"/>
        <rFont val="Arial"/>
        <family val="2"/>
      </rPr>
      <t>g</t>
    </r>
    <r>
      <rPr>
        <sz val="10"/>
        <rFont val="Arial"/>
        <family val="2"/>
      </rPr>
      <t>)  iznosi 0,7 W/m2K.</t>
    </r>
  </si>
  <si>
    <t>Pod stolarskim radovima podrazumjeva se proizvodnja i ugradnja drvenih i plastičnih (PVC) komponenti, kao npr. vrata, prozora, prozorskih elemenata, grilja, pregrada, zidnih i stropnih obloga, ugradnih ormara i ostalih elemenata opreme. Također u grupu stolarskih radova uključena je i izrada i ugradnja kompleksnih kompozitnih sklopova koji uključuju drvo i metal.</t>
  </si>
  <si>
    <t>Dobava i ugradnja rolo platna i sistemskog rješenja  
Manualna kontrola spuštanja/dizanja na lančić ('twin pull'), aluminjski tip nosača (kao 'bracket+profile' za stropnu montažu) sa svim pokrivnim kapicama i materijalom za montažu, kao i donja uteg lajsna na platnu, sve u istoj boji/obradi; boja crna.  U cijenu uključen sav potreban rad i materijal. Obavezno izmjera na licu mjesta!  Uzorak svih elemenata projektantu i investitoru na ovjeru i potvrdu. Aternativno vertikalna sjenila sa svom pripadajućom opremom, po izboru projektanta.</t>
  </si>
  <si>
    <r>
      <t xml:space="preserve">Izrada, dobava i ugradnja </t>
    </r>
    <r>
      <rPr>
        <b/>
        <sz val="10"/>
        <rFont val="Arial"/>
        <family val="2"/>
      </rPr>
      <t>čelične INOX ograde</t>
    </r>
    <r>
      <rPr>
        <sz val="10"/>
        <rFont val="Arial"/>
        <family val="2"/>
      </rPr>
      <t>,  prema projektu - propisano Pravilnikom o osiguranju pristupačnosti građevina osobama s invaliditetom i smanjene pokretljivosti (NN 78/13). 
Ograda se izvodi od čeličnih  INOX cijevnih profila Ø 40 mm, visine 90 cm, sa uključivo dvije horizontale na visini 60 i 90 cm. Stupovi na udaljenosti 1,2 m .  U stavku uključen sav potreban materijal za izvedbu i montažu do potpune gotovosti.
U jediničnu cijenu uključen sav osnovni i dodatni materijal - varovi,  -  sve potrebno za potpuno dovršenje rada, sav transport: vanjski, u radionici i na gradilištu.</t>
    </r>
  </si>
  <si>
    <t>REKAPITULACIJA GRAĐEVINSKO - OBRTNIČKIH RADOVA, STROJARSKIH INSTALACIJA I DIZALA, ELEKTRO INSTALACIJA, INSTALACIJA VODOVODA I KANALIZACIJE  I RADOVA PROMETNIH POVRŠINA</t>
  </si>
  <si>
    <t>POPIS TROŠKOVNIKA:</t>
  </si>
  <si>
    <t>C.6.</t>
  </si>
  <si>
    <t>Dobava i izvedba sve horizontalne i vertikalne signalizacije, oznaka i elemenata za osobe s invaliditetom i smanjene pokretljivosti propisana "Pravilnikom o osiguranju pristupačnosti građevina osobama s invaliditetom i smanjene pokretljivosti 78-13", koja nije obuhvaćena ostalim troškovnicima.</t>
  </si>
  <si>
    <t>UNUTARNJI PROZORI
(nadsvjetlo za WC-Ž, u zidu ispod stropa)
Izrada, dobava i montaža vanjskih i unutarnjih aluminijskih vrata, prozora i stijena iz plastificiranih aluminijskih profila s prekinutim toplinskim mostom, antracit boje, polusjaj. Ostakljena bravarija sadržava troslojno reflektirajuće izo staklo sa low-e premazom 4+16+4+16+4 mm, Uw &lt;= 1.4 W/(m2K), Ug&lt; =  0,7 W/m2K. U stavci je uračunat sav potreban okov. RAL ugradnja. U cijenu je uračunat sav potreban rad i materijal. U stavku je uračunat horizontalni i vertikalni transport. Obračun po kom.</t>
  </si>
  <si>
    <r>
      <t xml:space="preserve">Izrada, dobava i montaža  unutarnjih aluminijskih ostakljenih  </t>
    </r>
    <r>
      <rPr>
        <b/>
        <sz val="10"/>
        <rFont val="Arial"/>
        <family val="2"/>
      </rPr>
      <t>stijena šaltera</t>
    </r>
    <r>
      <rPr>
        <sz val="10"/>
        <rFont val="Arial"/>
        <family val="2"/>
        <charset val="238"/>
      </rPr>
      <t xml:space="preserve"> iz plastificiranih aluminijskih profila, antracit boje, polusjaj. Ostakljena bravarija sadržava troslojno reflektirajuće izo staklo sa low-e premazom 4+16+4+16+4 mm, Uw &lt;= 1.4 W/(m2K), Ug&lt; =  0,7 W/m2K. Staklene stijene od sigurnosnog stakla. U stavci je uračunat sav potreban okov. Uračunato oblikovanje manipulativnog otvora u staklenoj stijeni i postava horizontalnih ploča od kamena d = 2 cm dim 112 x 40cm. U cijenu je uračunat sav potreban rad i materijal. U stavku je uračunat horizontalni i vertikalni transport. Obračun po kom.</t>
    </r>
  </si>
  <si>
    <t>PJEŠAČKA SIGNALIZACIJA</t>
  </si>
  <si>
    <t>C.</t>
  </si>
  <si>
    <t>OBRTNIČKI RADOVI UKUPNO</t>
  </si>
  <si>
    <t>GRAĐEVINSKI RADOVI UKUPNO</t>
  </si>
  <si>
    <t>UKUPNO RADOVI S BILJNIM MATERIJALOM:</t>
  </si>
  <si>
    <t>UKUPNO PRIPREMNI RADOVI PJEŠAČKIH RAMPI I VANJSKIH STUBIŠTA:</t>
  </si>
  <si>
    <t>UKUPNO PJEŠAČKA POVRŠINA:</t>
  </si>
  <si>
    <t>UKUPNO PJEŠAČKA SIGNALIZACIJA:</t>
  </si>
  <si>
    <r>
      <rPr>
        <b/>
        <sz val="10"/>
        <rFont val="Arial"/>
        <family val="2"/>
      </rPr>
      <t>Zidanje ispune vanjskih zidova od blok opeke dim 29/19/19</t>
    </r>
    <r>
      <rPr>
        <sz val="10"/>
        <rFont val="Arial"/>
        <family val="2"/>
      </rPr>
      <t xml:space="preserve">. Zidanje vanjskih zidova rekonstruiranog dijela zgrade blok opekom u produžnom mortu M-5. Zid debljine 30cm. Obračun po m2. Sve otvore, prodore i šliceve za prolaz instalacija izvođač je dužan izvesti bez posebne nadoplate. </t>
    </r>
  </si>
  <si>
    <t>B2124</t>
  </si>
  <si>
    <t>Redni broj</t>
  </si>
  <si>
    <t>VRSTA RADOVA</t>
  </si>
  <si>
    <t>JEDINICA MJERE</t>
  </si>
  <si>
    <t>KOLIČINA</t>
  </si>
  <si>
    <t>Ukupno</t>
  </si>
  <si>
    <t>I</t>
  </si>
  <si>
    <t>INSTALACIJA VODOVODA</t>
  </si>
  <si>
    <t>1.</t>
  </si>
  <si>
    <t>Geodetsko praćenje svih radova na izvedbi unutarnje i vanjske vodovodne mreže , uključivo stacioniranje svih točaka na terenu s izradom snimka izvedenog stanja. Obračun po komplet snimljenom i ucrtanom projektu. Investitoru predati digitalni i jedan tiskani primjerak projekta izvedenog stanja.</t>
  </si>
  <si>
    <t>kpl</t>
  </si>
  <si>
    <t>Razni iskopi u tlu III i IV kategorije (šahtovi, rovovi i sl.) s pravilnim zasjecanjem bočnih stranica i dna iskopa, širine rova 0,70 m, prosječne dubine 1,00 m sa odlaganjem iskopanog materijala na stranu, 2 m od ivice rova, radi kasnije uporabe ili odvozom na privremenu deponiju na udaljenosti do 50 m. Predvidjeti razupiranje oplatom i crpljenje vode. Posebnu pozornost obratiti na križanja s ostalim instalacijama.</t>
  </si>
  <si>
    <r>
      <t>m</t>
    </r>
    <r>
      <rPr>
        <vertAlign val="superscript"/>
        <sz val="9"/>
        <rFont val="Arial CE"/>
        <family val="2"/>
        <charset val="238"/>
      </rPr>
      <t>3</t>
    </r>
  </si>
  <si>
    <t>Planiranje dna rova na projektnu dubinu s točnošću  ± 2 cm.</t>
  </si>
  <si>
    <r>
      <t>m</t>
    </r>
    <r>
      <rPr>
        <vertAlign val="superscript"/>
        <sz val="9"/>
        <rFont val="Arial CE"/>
        <family val="2"/>
        <charset val="238"/>
      </rPr>
      <t>2</t>
    </r>
  </si>
  <si>
    <t>Izrada posteljice od pijeska ispod cijevi debljine 10 cm uz grubo poravnanje radi pravilnog nalijeganja cjevovoda.</t>
  </si>
  <si>
    <t>Ručno zatrpavanje pješčanim materijalom oko  20 cm iznad tjemena vodovodnih cijevi uz pažljivo nabijanje. Mjesta spojeva cijevi ostaviti nezasute do tlačne probe.</t>
  </si>
  <si>
    <r>
      <t>Dobava šljunčanog materijala i zasipanje rova (iznad pijeska oko položene cijevi) u slojevima deb. 30 cm uz strojno ili ručno zbijanje slojeva do potrebne zbijenosti. Obračun po m</t>
    </r>
    <r>
      <rPr>
        <sz val="9"/>
        <rFont val="Arial"/>
        <family val="2"/>
        <charset val="238"/>
      </rPr>
      <t>³</t>
    </r>
    <r>
      <rPr>
        <sz val="9"/>
        <rFont val="Arial CE"/>
        <family val="2"/>
        <charset val="238"/>
      </rPr>
      <t xml:space="preserve"> ugrađenog materijala u konačno zbijenom stanju.</t>
    </r>
  </si>
  <si>
    <t>Odvoz preostalog materijala nakon zatrpavanja rova na deponiju udaljenu max 5 km. Naknadu za deponiranje uključiti u cijenu.</t>
  </si>
  <si>
    <r>
      <t>Dobava materijala i izvedba armiranobetonske komore za vodomjer u vodonepropusnom betonu MB-30 sa atestom za vodonepropusnost i odgovarajućoj oplati. Ulaz u komoru izvesti veličine 60/60 cm s penjalicama na razmaku 30 cm. 
S unutarnje strane zidove i dno ožbukati vodonepropusnim cementnim mortom. Zidove i dno komore izvesti i armirati prema detaljima danim u nacrtima. Vodomjerno okno veličine 300x170x200 (vanjske dimenzije) sa stijenkama 20 cm debljine. Prodore cijevi kroz stijenke izvršiti ugradnjom ukupno 3 provodnice  2x</t>
    </r>
    <r>
      <rPr>
        <sz val="9"/>
        <rFont val="Symbol"/>
        <family val="1"/>
        <charset val="2"/>
      </rPr>
      <t>Ć</t>
    </r>
    <r>
      <rPr>
        <sz val="9"/>
        <rFont val="Arial CE"/>
        <family val="2"/>
        <charset val="238"/>
      </rPr>
      <t>100 i 1x</t>
    </r>
    <r>
      <rPr>
        <sz val="9"/>
        <rFont val="Symbol"/>
        <family val="1"/>
        <charset val="2"/>
      </rPr>
      <t>Ć</t>
    </r>
    <r>
      <rPr>
        <sz val="9"/>
        <rFont val="Arial CE"/>
        <family val="2"/>
        <charset val="238"/>
      </rPr>
      <t>32. U cijenu uključiti vrijednosti svih radova i materijal.</t>
    </r>
  </si>
  <si>
    <t>UKUPNO :</t>
  </si>
  <si>
    <t>2.</t>
  </si>
  <si>
    <t>MONTAŽNI RADOVI</t>
  </si>
  <si>
    <t xml:space="preserve">Izrada priključka na vodovodnu mrežu preko postojećeg vodomjernog okna, uključivo pristojba priključenja, uz nabavu, dopremu na gradilište i montažu vodomjera odobrenog od strane Državnog zavoda za mjeriteljstvo te poduzeća Vinkovački vodovod i kanalizacija d.o.o. , fitinga, zapornih tijela sa svim spojnim i brtvenim materijalom. U cijenu uključiti dobavu, montažu, ispitivanja, antikorozivnu zaštitu svih dijelova. </t>
  </si>
  <si>
    <t xml:space="preserve">Nabava, doprema na gradilište i ugradnja PE-HD cijevi  sa odgovarajućim spojnim materijalom i fazonskim komadima za izradu vanjske vodovodne mreže za radni tlak do 10 bara. U cijenu je uključeno i snimanje izgrađenog cjevovoda za katastar podzemnih instalacija. </t>
  </si>
  <si>
    <r>
      <t>m</t>
    </r>
    <r>
      <rPr>
        <vertAlign val="superscript"/>
        <sz val="9"/>
        <rFont val="Arial CE"/>
        <family val="2"/>
        <charset val="238"/>
      </rPr>
      <t>1</t>
    </r>
  </si>
  <si>
    <t>Dobava PP-R cijevi sa svim potrebnim fazonskim i spojnim elementima, brtvenim materijalom i termoizolacijom te izrada instalacije u građevini prema priloženoj shemi. Radove izvesti prije gletanja i ličenja zidova. Koljena uobziriti u cijenu ugrađenih cjevovoda. Unutarnji razvod izvesti od cijevi PP-R 80 SDR6, PN20, max radna temperatura vode do 70 °C, kratkotrajno i do 110 °C. Cijevi prema kvaliteti i dimenzijama odgovaraju DIN - 8077/78. Stavka uključuje i štemanja šliceva, kao i gletanje šliceva nakon ugradnje cijevi.</t>
  </si>
  <si>
    <r>
      <t xml:space="preserve">Nabava, doprema na gradilište i ugradnja čeličnih pocinčanih cijevi </t>
    </r>
    <r>
      <rPr>
        <sz val="9"/>
        <rFont val="Symbol"/>
        <family val="1"/>
        <charset val="2"/>
      </rPr>
      <t>Ć</t>
    </r>
    <r>
      <rPr>
        <sz val="9"/>
        <rFont val="Arial CE"/>
      </rPr>
      <t xml:space="preserve"> 50 HRN C.B5.225 s armaturom prema HRN M.C5.260, spajanje na navoj, odnosno spojnim elementima (fitinzima) za izradu unutarnjeg razvoda hidrantske mreže za radni tlak do 16 bara. U cijenu je uključeno i snimanje izgrađenog cjevovoda za katastar podzemnih instalacija. </t>
    </r>
  </si>
  <si>
    <r>
      <t xml:space="preserve">Nabava, doprema na gradilište i montaža podžbuknog ventila </t>
    </r>
    <r>
      <rPr>
        <sz val="9"/>
        <rFont val="Symbol"/>
        <family val="1"/>
        <charset val="2"/>
      </rPr>
      <t>Ć</t>
    </r>
    <r>
      <rPr>
        <sz val="9"/>
        <rFont val="Arial CE"/>
      </rPr>
      <t xml:space="preserve"> 20 mm sa metalnom kromiranom kapom i metalnom kromiranom rozetom. U cijenu uključiti vrijednost svih radova i materijal.</t>
    </r>
  </si>
  <si>
    <t>Tlačna proba izvedene vodovodne instalacije tlakom od 10 bara u trajanju minimalno 12 sati s osiguranjem potrebne količine vode za punjenje cjevovoda.Kontrola s radnim i kontrolnim manometrom, te ispuštanje vode po završenoj probi.  Obuhvaćeno ispitivanje vanjske i unutarnje vodovodne mreže te izrada zapisnika o tlačnoj probi.</t>
  </si>
  <si>
    <t>Ispiranje i dezinficiranje cjevovoda i osiguranje atesta o ispitivanju vode (bakteriološko i mineralna ulja).</t>
  </si>
  <si>
    <t>II</t>
  </si>
  <si>
    <t>INSTALACIJA KANALIZACIJE</t>
  </si>
  <si>
    <t>Geodetsko praćenje svih radova na izvedbi instalacije vanjske i unutrašnje kanalizacije, uključivo stacioniranje svih točaka na terenu s izradom snimka izvedenog stanja. Obračun po komplet snimljenom i ucrtanom projektu. Investitoru predati digitalni i jedan tiskani primjerak projekta.</t>
  </si>
  <si>
    <t>Razni iskopi u tlu III i IV kategorije (šahtovi, rovovi i sl.) s pravilnim zasjecanjem stranica i dna iskopa, širine rova 0,70 m, prosječne dubine  1,20 m sa odlaganjem iskopanog materijala na stranu, 2 m od ivice rova, radi kasnije uporabe ili odvozom na privremenu deponiju na udaljenosti do 50 m. Predvidjeti razupiranje oplatom i crpljenje vode. Posebnu pozornost obratiti na križanja s ostalim instalacijama.</t>
  </si>
  <si>
    <t>Široki iskopi u tlu III i IV kategorije (prepumpno okno)  dubine do 5,0 m sa odlaganjem iskopanog materijala na stranu, 2 m od ivice rova, radi kasnije uporabe ili odvozom na privremenu deponiju na udaljenosti do 50 m. Predvidjeti razupiranje oplatom i crpljenje vode. Posebnu pozornost obratiti na križanja s ostalim instalacijama.</t>
  </si>
  <si>
    <t>Planiranje dna rova na projektnu dubinu s točnošću ± 2 cm.</t>
  </si>
  <si>
    <t xml:space="preserve">Izrada posteljice od pijeska ispod cijevi debljine 10 cm uz grubo poravnanje radi pravilnog nalijeganja cjevovoda kanalizacije. </t>
  </si>
  <si>
    <t>Ručno zatrpavanje piješčanim materijalom oko  20 cm iznad tjemena kanalizacijskih cijevi uz pažljivo nabijanje.</t>
  </si>
  <si>
    <t xml:space="preserve">Strojno zatrpavanje zemljanim materijalom iz iskopa širokih iskopa uz pažljivo nabijanje u slojevima od 30 cm. </t>
  </si>
  <si>
    <t>Odvoz preostalog materijala nakon zatrpavanja na deponiju udaljenu max 5 km. Naknadu za deponiranje uključiti u cijenu.</t>
  </si>
  <si>
    <t>Nabava i dobava na gradilište materijala te izrada armirano-betonskog revizionog okna unutarnjih dim. 80 x 80 cm, dubine cca 120 cm, debljine stjenke 20 cm u vodonepropusnom betonu klase C 25/30, komplet sa lijevanoželjeznim poklopcem 600 x 600 mm, klase nosivosti B125, ugrađenim ljevanoželjeznim penjalicama i kinetom. Stavka podrazumjeva kompletne radove (oplata, beton, armatura, poklopac, penjalice, kineta, priključci na kanalizacijske cijevi ....). 
Obračun po kompletno izvedenom i priključenom oknu.</t>
  </si>
  <si>
    <t xml:space="preserve">Nabava i dobava na gradilište materijala te izrada armirano-betonskog prepumpnog okna unutarnjih dim. 300 x 250 cm, dubine cca 380 cm, debljine stjenke 25 cm u vodonepropusnom betonu klase C 30/37, komplet sa lijevanoželjeznim poklopcima 800 x 800 mm, klase nosivosti C250, ugrađenim ljevanoželjeznim penjalicama. Stavka podrazumjeva kompletne radove (oplata, beton, armatura, poklopac, penjalice, hidroizolacija, priključci na kanalizacijske cijevi ....). </t>
  </si>
  <si>
    <t xml:space="preserve">Nabava, doprema na gradilište i ugradnja PVC kanalizacijskih cijevi  sa naglavnim spojevima i svim potrebnim fazonskim komadima koji nisu posebno specificirani, spojnim i brtvenim materijalom, materijalom za pričvršćenje i zavješenje, svi radovi i radna skela ukoliko je potrebna. Kompletnu temeljnu kanalizaciju izvesti od PVC cijevi izrađenih po DIN-u 19534. Stavka uključuje i izrada šliceva u zidovima i podovima, te popravke istih nakon ugradnje cijevi. </t>
  </si>
  <si>
    <r>
      <t xml:space="preserve">Nabava, doprema na gradilište i ugradnja vertikalnih ljevanoželjeznih oluka </t>
    </r>
    <r>
      <rPr>
        <sz val="9"/>
        <rFont val="Symbol"/>
        <family val="1"/>
        <charset val="2"/>
      </rPr>
      <t>Ć</t>
    </r>
    <r>
      <rPr>
        <sz val="9"/>
        <rFont val="Arial CE"/>
        <family val="2"/>
        <charset val="238"/>
      </rPr>
      <t>160 sa revizijskim otvorem i poklopcem. Dužina cijevi 2 m. U cijenu uključiti vrijednost svih radova, materijala, ovjesa te spoja na vertikale.</t>
    </r>
  </si>
  <si>
    <t xml:space="preserve">Dobava, prijenos i ugradnja krovnog slivnika sa sifonom od nehrđajućeg čelika sa bitumenskom oblogom i toplinskom izolacijom, odgovarajućom rešetkom, sa horizontalnim spojem DN160 na vertikalu. Slivnike ugraditi na krov prije završnog sloja hidroizolacije.U cijenu uključiti i kružni prsten od PVC folije za spoj sa hidroizolacijom ravnoga krova. Sve komplet. </t>
  </si>
  <si>
    <t>Nabava i ugradnja kompleta potopnih pumpi (radne i rezervne) za prljave i fekalne vode, odnosno zaprljane vode koje sadrže vlaknaste tvari i talog sa torzionim impelerom. Primjena je u industrijske, komunalne i privatne svrhe.
Dozvoljena ulazna temperatura 40ºC, maksimalna dubina ugradnje je 20 m ispod slobodne vodene površine.
Tlačni priključak DN=200 dužine 8 m, potrebna visina dizanja: H=6,0 m, minimalnog protoka: Qmin=75l/s. U cijenu uključiti automatski upravljački ormarić, sva spojna i priključna sredstva, pumpe s motorima, hidrostatske sonde s držačima, postolje, vodilicu, montažni pribor, lance za montažu, protupovratne zaklopke, prirubničke komade, plovne sklopke s nosačima, kabele za napajanje i upravljačke kabele, cijevi, provodnice za beton, tlačni vod DN200 dužine 8m, i sav potreban pribor i materijal za potpunu funkcionalnost prepumpnog sustava. Obračun po komplet ugrađenom prepumpnom sustavu.</t>
  </si>
  <si>
    <t>Ispitivanje vertikalne i horizontalne kanalizacije na protočnost i nepropusnost, te ispiranje kanalizacije.</t>
  </si>
  <si>
    <t>III</t>
  </si>
  <si>
    <t>SANITARNI UREĐAJI I ELEMENTI</t>
  </si>
  <si>
    <t>Nabava, dobava i ugradnja zidnih umivaonika sa jednoručnom baterijom za vodu. Komplet čine :
 - umivaonik 58 cm
 - umivaonički sifon Ø32 mm i priključna cijev
 - jednoručna baterija za vodu, s čepom i
   mehanizmom za zatvaranje,  fleksibilnim cijevima Ø15mm
   dužine 60 cm s priključnim maticama i brtvama za spoj na
   kutne ventile  tople i hladne vode
Obračun po kompletno ugrađenoj i ispitanoj opremi, s potrebnim brtvenim materijalom, u punoj funkcionalnosti.</t>
  </si>
  <si>
    <t>Nabava, dobava i ugradnja zidnih umivaonika za osobe smanjene pokretljivosti sa jednoručnom mješalicom za toplu i hladnu vodu. Komplet čine :
 - umivaonik 58 cm
 - umivaonički sifon Ø32 mm i priključna cijev
 - jednoručna baterija za vodu, s čepom i
   mehanizmom za zatvaranje,  fleksibilnim cijevima Ø15mm
   dužine 60 cm s priključnim maticama i brtvama za spoj na
   kutne ventile  tople i hladne vode
Obračun po kompletno ugrađenoj i ispitanoj opremi, s potrebnim brtvenim materijalom, u punoj funkcionalnosti. Ugraditi opremu u skladu s Pravilnikom o osiguranju pristupačnosti građevina osobama s invaliditetom i smanjene pokretljivosti.</t>
  </si>
  <si>
    <t>Nabava, dobava i ugradnja kompletne WC opreme koju čine :
 - stojeća školjka
 - daska s poklopcem
 - niski vodokotlić
 - plastična isplavna cijev (priključna garnitura)
 - ručica za aktiviranje
 - kutni kromirani ventili za vodu sa armiranim priključkom
    cijevi na vodu, sa holander maticom Ø 15 mm. 
Obračun po kompletno ugrađenoj i ispitanoj opremi, s potrebnim brtvenim materijalom, u punoj funkcionalnosti.</t>
  </si>
  <si>
    <r>
      <t xml:space="preserve">Nabava, dobava i ugradnja kompletne WC opreme za osobe sa invaliditetom i smanjenom pokretljivosti opremljene sa pomočnim konzolnim držačima za ruke koju čine :
</t>
    </r>
    <r>
      <rPr>
        <i/>
        <sz val="8.5"/>
        <rFont val="Arial CE"/>
        <family val="2"/>
        <charset val="238"/>
      </rPr>
      <t xml:space="preserve"> - školjka sa podnim odvodom
 - daska s poklopcem
 - ugradbeni vodokotlić
 - kombifix montažni element za vodokotlić i školjku
 - plastična isplavna cijev (priključna garnitura)
 - tipka za aktiviranje 6/3 lit.
 - konzolni držači za ruke
 - kutni kromirani ventili za vodu sa armiranim priključkom
    cijevi na vodu, sa holander maticom </t>
    </r>
    <r>
      <rPr>
        <i/>
        <sz val="8.5"/>
        <rFont val="Arial"/>
        <family val="2"/>
        <charset val="238"/>
      </rPr>
      <t>Ø</t>
    </r>
    <r>
      <rPr>
        <i/>
        <sz val="8.5"/>
        <rFont val="Arial CE"/>
        <family val="2"/>
        <charset val="238"/>
      </rPr>
      <t xml:space="preserve"> 15 mm. </t>
    </r>
    <r>
      <rPr>
        <sz val="9"/>
        <rFont val="Arial CE"/>
        <family val="2"/>
        <charset val="238"/>
      </rPr>
      <t xml:space="preserve">
Obračun po kompletno ugrađenoj i ispitanoj opremi, s potrebnim brtvenim materijalom, u punoj funkcionalnosti.</t>
    </r>
  </si>
  <si>
    <r>
      <t xml:space="preserve">Nabava, dobava i ugradnja konzolnog pisoara komplet sa priključkom, kutnim ventilom </t>
    </r>
    <r>
      <rPr>
        <sz val="9"/>
        <rFont val="Symbol"/>
        <family val="1"/>
        <charset val="2"/>
      </rPr>
      <t>Ć</t>
    </r>
    <r>
      <rPr>
        <sz val="9"/>
        <rFont val="Arial CE"/>
        <family val="2"/>
        <charset val="238"/>
      </rPr>
      <t>15 mm, ispirnom cijevi i odvodom. Obračun po kompletno ugrađenoj i ispitanoj opremi s brtvenim materijalom, u punoj funkcionalnosti.</t>
    </r>
  </si>
  <si>
    <t>Dobava i ugradnja električkog protočnog bojlera snage 3,5 kW sa donjom montažom. U cijenu uključen bojler sa svim potrebnim spojnim materijalom i opremom za montažu. Obračun po kompletno ugrađenoj i ispitanoj opremi s brtvenim materijalom, u punoj funkcionalnosti.</t>
  </si>
  <si>
    <t>Dobava i ugradnja električkog bojlera kapaciteta 80L snage 2 kW. U cijenu uključen bojler sa svim potrebnim spojnim materijalom i opremom za montažu. Obračun po kompletno ugrađenoj i ispitanoj opremi s brtvenim materijalom, u punoj funkcionalnosti.</t>
  </si>
  <si>
    <t>Dobava i ugradnja električkog bojlera kapaciteta 120L snage 2 kW. U cijenu uključen bojler sa svim potrebnim spojnim materijalom i opremom za montažu. Obračun po kompletno ugrađenoj i ispitanoj opremi s brtvenim materijalom, u punoj funkcionalnosti.</t>
  </si>
  <si>
    <t>Nabava i ugradnja sanitarnog pribora i sitne galanterije.
Stavka podrazumjeva sav potreban alat i pribor za ugradnju.</t>
  </si>
  <si>
    <t>Nabava i ugradnja polukristalnog zrcala od stakla debljine 4 mm, s etažerima od kaljenog stakla, dimenzija 600 x 400 mm. 
Stavka podrazumjeva i sav potreban pribor za ugradnju.</t>
  </si>
  <si>
    <t>Nabava i ugradnja polukristalnog zrcala za osobe smanjene pokretljivosti u skladu s Pravilnikom o osiguranju pristupačnosti građevina osobama s invaliditetom i smanjene pokretljivosti. Stavka podrazumjeva i sav potreban pribor za ugradnju.</t>
  </si>
  <si>
    <t>IV</t>
  </si>
  <si>
    <t>ZAŠTITA OD POŽARA</t>
  </si>
  <si>
    <t>Dobava i ugradnja na zid ručnog aparata za suho gašenje požara tip S-6 (visina ugradnje +1.5 m). U cijenu su uključene vrijednosti svih radova i materijal.</t>
  </si>
  <si>
    <t>Dobava i ugradnja na zid ručnog aparata za suho gašenje požara tip S-9 (visina ugradnje +1.5 m). U cijenu su uključene vrijednosti svih radova i materijal.</t>
  </si>
  <si>
    <r>
      <t xml:space="preserve">Nabava, doprema na gradilište i montaža zidnih protupožarnih hidranata HRN EN 671–2 komplet s pripadajućom opremom:
</t>
    </r>
    <r>
      <rPr>
        <i/>
        <sz val="8.5"/>
        <rFont val="Arial CE"/>
        <charset val="238"/>
      </rPr>
      <t xml:space="preserve"> - tlačna cijev Ø 52 dužine 20 m sa spojnicama
 - kutni ventil Ms 2" sa stabilnom spojnicom (Al) Ø 52 mm
 - mlaznica Ø 52 mm Al sa zasunom
 - okretni nastavak Ms2"</t>
    </r>
    <r>
      <rPr>
        <sz val="9"/>
        <rFont val="Arial CE"/>
        <family val="2"/>
        <charset val="238"/>
      </rPr>
      <t xml:space="preserve">
Obračun po kompletno ugrađenom hidrantu.</t>
    </r>
  </si>
  <si>
    <r>
      <t xml:space="preserve">Dobava, prijenos i montaža nadzemnog hidranta sa priključkom DN 100, PN 10/16 prema DIN-u 3222. U komplet su uključena i sva spojna sredstva na PEHD cjevovod te samostojeći hidrantski ormarić tip OH-N boje RAL 3000 sa standardnom pripadajućom opremom:
</t>
    </r>
    <r>
      <rPr>
        <sz val="8.5"/>
        <rFont val="Arial CE"/>
        <family val="2"/>
        <charset val="238"/>
      </rPr>
      <t xml:space="preserve">- tlačna cijev </t>
    </r>
    <r>
      <rPr>
        <sz val="8.5"/>
        <rFont val="Symbol"/>
        <family val="1"/>
        <charset val="2"/>
      </rPr>
      <t>Ć</t>
    </r>
    <r>
      <rPr>
        <sz val="8.5"/>
        <rFont val="Arial CE"/>
        <family val="2"/>
        <charset val="238"/>
      </rPr>
      <t xml:space="preserve">52 mm dužine 15 m sa spojnicama x 2 kom
- mlaznica </t>
    </r>
    <r>
      <rPr>
        <sz val="8.5"/>
        <rFont val="Symbol"/>
        <family val="1"/>
        <charset val="2"/>
      </rPr>
      <t>Ć</t>
    </r>
    <r>
      <rPr>
        <sz val="8.5"/>
        <rFont val="Arial CE"/>
        <family val="2"/>
        <charset val="238"/>
      </rPr>
      <t xml:space="preserve">52 mm AI sa zasunom x 2 kom
- ključ za spojnice ABC x 2 kom
- ključ za nadzemni hidrant x 1 kom
</t>
    </r>
    <r>
      <rPr>
        <sz val="9"/>
        <rFont val="Arial CE"/>
        <charset val="238"/>
      </rPr>
      <t>Obračun po komplet ugrađenom, spojenom i atestiranom hidrantu.</t>
    </r>
  </si>
  <si>
    <t>Tlačna proba izvedene vodovodne instalacije tlakom od 10 bara u trajanju minimalno 12 sati s osiguranjem potrebne količine vode za punjenje cjevovoda.Kontrola s radnim i kontrolnim manometrom, te ispuštanje vode po završenoj probi.  Obuhvaćeno ispitivanje vanjske i unutarnje vodovodne - hidrantske mreže te izrada zapisnika o tlačnoj probi.</t>
  </si>
  <si>
    <t>REKAPITULACIJA:</t>
  </si>
  <si>
    <t>I.</t>
  </si>
  <si>
    <t>Eur</t>
  </si>
  <si>
    <t>II.</t>
  </si>
  <si>
    <t>III.</t>
  </si>
  <si>
    <t>IV.</t>
  </si>
  <si>
    <t>UKUPNO</t>
  </si>
  <si>
    <t>+</t>
  </si>
  <si>
    <t>PDV ( 25% )</t>
  </si>
  <si>
    <t>SVEUKUPNO (UKUPNO + PDV):</t>
  </si>
  <si>
    <t>R. BR.</t>
  </si>
  <si>
    <t>OPIS PROIZVODA</t>
  </si>
  <si>
    <t>MJERA</t>
  </si>
  <si>
    <t>KOL.</t>
  </si>
  <si>
    <t>JED.</t>
  </si>
  <si>
    <t>STROJARSKE INSTALACIJE</t>
  </si>
  <si>
    <t>1. DEMONTAŽNI RADOVI</t>
  </si>
  <si>
    <t>Napomena: Stavke demontaže uključuju sav pomoćni materijal i opremu nužnu za demontažu i iznošenje izvan kotlovnice, sav horizontalni i vertikalni transport te odvoz demontirane opreme i cjevovoda na deponiju ili na lokaciju koju odredi investitor do 10 km udaljenosti</t>
  </si>
  <si>
    <t>Demontaža kotla na lož ulje, komplet s pripadajućim plamenikom, armaturom, spojnim cjevovodom i dimnjačom te odspajanjem od elektro priključka i spojnog cjevovoda</t>
  </si>
  <si>
    <t>Demontaža cjevovoda i opreme unutar kotlovnice koja je van funkcije komplet s toplinskom izolacijom i  rezanjem na dužine do 4 m</t>
  </si>
  <si>
    <t>3.</t>
  </si>
  <si>
    <t>Demontaža spremnika lož ulja i uljne instalacije od spremnika do kotla, te predaja Investitoru ili adekvatno zbrinjavanje otpada te dostava investitoru potvrdu o zbrinjavanju istog</t>
  </si>
  <si>
    <t>4.</t>
  </si>
  <si>
    <t>Demontaža postojećih ogrijevnih tijela s kompletnim spojnim elementima te adekvatno zbrinjavanje opreme koja se uklanja</t>
  </si>
  <si>
    <t>5.</t>
  </si>
  <si>
    <t>Pražnjenje vode u sustavu grijanja sa svim pripremnim i završnim radovima</t>
  </si>
  <si>
    <t>6.</t>
  </si>
  <si>
    <t>Demontaža regulacije (osjetnici topline i regulacijski ventili), konzole, rozete, prirubnice i sl.</t>
  </si>
  <si>
    <t>2. INSTALACIJE GRIJANJA</t>
  </si>
  <si>
    <t>Tehničke karakteristike:</t>
  </si>
  <si>
    <t>Napajanje : 380V - 3ph - 50Hz</t>
  </si>
  <si>
    <t>Broj kompresora : 2</t>
  </si>
  <si>
    <t>Broj nezavisnih rashladnih krugova : 1</t>
  </si>
  <si>
    <t>Broj ventilatora: 2</t>
  </si>
  <si>
    <t>Minimalno opterećenje stroja : 0 - 50 - 100 %</t>
  </si>
  <si>
    <t>Oprema koja treba biti sadržana u isporuci dizalice topline :</t>
  </si>
  <si>
    <t>OPT 25 : Soft start</t>
  </si>
  <si>
    <t>OPT 116X : Hidromodul sa jednom varijabilnom niskotlačnom crpkom</t>
  </si>
  <si>
    <t>Uređaj treba tvornički biti isporučen prema gore navedenom te spreman za rad nakon hidrauličkog i električnog spajanja. Dodatne isporuke opreme i software-a nisu dopuštene, odnosno ako budu potrebne idu na teret isporučitelja.</t>
  </si>
  <si>
    <t xml:space="preserve">Akumulacijski spremnik ogrjevne vode volumena 920 litara, toplinski izoliran
</t>
  </si>
  <si>
    <t>Uređaj za omekšavanje vode s jednim ionskim filterom, posudom za sol, cjevovodom s armaturom, vodomjerom i ionskom masom. Maksimalni protok 0,5 m3/h.</t>
  </si>
  <si>
    <t>Zatvorena ekspanziona posuda V=150 litara, maksimalni tlak 10 bara, komplet sa spojnim i montažnim materijalom</t>
  </si>
  <si>
    <t>Izrada, nabava i montaža razdjelnika ogrjevne vode od bešavne čelične cijevi DN 65, dužine 900 mm s priključcima DN 50-1 kom., DN 20-1 kom., DN 40-1 kom., DN 32-2 kom. Komplet s ovjesnim priborom, antikorozivnom zaštitom i izolacijom</t>
  </si>
  <si>
    <t>Izrada, nabava i montaža sabirnika ogrjevne vode od bešavne čelične cijevi DN 65, dužine 900 mm s priključcima DN 50-1 kom., DN 20-1 kom., DN 40-1 kom., DN 32-2 kom. Komplet s ovjesnim priborom, antikorozivnom zaštitom i izolacijom</t>
  </si>
  <si>
    <t>7.</t>
  </si>
  <si>
    <t>Cirkulacijske pumpe za ogrjevnu vodu s elektronskom regulacijom</t>
  </si>
  <si>
    <t>kom.</t>
  </si>
  <si>
    <t>8.</t>
  </si>
  <si>
    <t>Nepovratni ventili za toplu vodu u kompletu sa spojnim i brtvenim materijalom</t>
  </si>
  <si>
    <t>9.</t>
  </si>
  <si>
    <t>Termomanometar 0-4 bara / 110 °C</t>
  </si>
  <si>
    <t>10.</t>
  </si>
  <si>
    <t>Odzračni lonac sadržaja 2 litre, opremljen automatskim odzračnim lončićem i ručnom slavinom za ispust</t>
  </si>
  <si>
    <t>11.</t>
  </si>
  <si>
    <t>Troputni miješajući elektromotorni ventili u kompletu sa spojnim i brvenim materijalom</t>
  </si>
  <si>
    <t>12.</t>
  </si>
  <si>
    <t>Kuglasti zaporni ventili za toplu vodu u kompletu sa spojnim i brtvenim materijalom</t>
  </si>
  <si>
    <t>13.</t>
  </si>
  <si>
    <t>Čelične cijevi za toplu vodu, prema EN 10210 (DIN 2448)</t>
  </si>
  <si>
    <t>m</t>
  </si>
  <si>
    <t>14.</t>
  </si>
  <si>
    <t>Čelični lukovi 90° prema EN 10253 (DIN 2605) u kompletu sa spojnim i brtvenim materijalom</t>
  </si>
  <si>
    <t>15.</t>
  </si>
  <si>
    <t>Nalijegajući cijevni termostat</t>
  </si>
  <si>
    <t>16.</t>
  </si>
  <si>
    <t xml:space="preserve">Pločasti čelični radijator s radijatorskim ventilom s termostatskom glavom, radijatorskim odzračnim pipcem te slavinom za pražnjenje tip: </t>
  </si>
  <si>
    <t xml:space="preserve">Pribor za zavješenje radijatora </t>
  </si>
  <si>
    <t>18.</t>
  </si>
  <si>
    <t xml:space="preserve">Kuglasti radijatorski blok ventil </t>
  </si>
  <si>
    <t>19.</t>
  </si>
  <si>
    <t>Priključna garnitura radijatora na</t>
  </si>
  <si>
    <t>PE-Xa cijevi</t>
  </si>
  <si>
    <t xml:space="preserve">kompl. </t>
  </si>
  <si>
    <t>20.</t>
  </si>
  <si>
    <t>Pomična navlaka</t>
  </si>
  <si>
    <t>21.</t>
  </si>
  <si>
    <t>PE-Xa cijevi za ogrjevnu vodu, toplinski izolirane</t>
  </si>
  <si>
    <t>22.</t>
  </si>
  <si>
    <t>Spojni i pričvrsni materijal za PE-Xa cijevi</t>
  </si>
  <si>
    <t>23.</t>
  </si>
  <si>
    <t xml:space="preserve">Dvostruka kuka za pričvršćenje cijevi za podlogu </t>
  </si>
  <si>
    <t>24.</t>
  </si>
  <si>
    <t xml:space="preserve">Priključni set  PE-Xa cijevi </t>
  </si>
  <si>
    <t xml:space="preserve">17 X 2,0 mm na razdjelnik </t>
  </si>
  <si>
    <t>25.</t>
  </si>
  <si>
    <t>Razdjelnik radijatorskog grijanja za 4 kruga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</si>
  <si>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26.</t>
  </si>
  <si>
    <t>Razdjelnik radijatorskog grijanja za 10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</si>
  <si>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27.</t>
  </si>
  <si>
    <t>Razdjelnik radijatorskog grijanja za 11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</si>
  <si>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28.</t>
  </si>
  <si>
    <t>Razdjelnik radijatorskog grijanja za 8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</si>
  <si>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29.</t>
  </si>
  <si>
    <t>Razdjelnik radijatorskog grijanja za 7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</si>
  <si>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30.</t>
  </si>
  <si>
    <t>Razdjelnik radijatorskog grijanja za 12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</si>
  <si>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31.</t>
  </si>
  <si>
    <t>Podžbukni ormarić za ugradnju toplovodnog razdjelnika do 4 kruga grijanja</t>
  </si>
  <si>
    <t>32.</t>
  </si>
  <si>
    <t>Podžbukni ormarić za ugradnju toplovodnog razdjelnika do 10 krugova grijanja</t>
  </si>
  <si>
    <t>33.</t>
  </si>
  <si>
    <t>Podžbukni ormarić za ugradnju toplovodnog razdjelnika do 12 krugova grijanja</t>
  </si>
  <si>
    <t>34.</t>
  </si>
  <si>
    <t>Podžbukni ormarić za ugradnju toplovodnog razdjelnika do 8 krugova grijanja</t>
  </si>
  <si>
    <t>35.</t>
  </si>
  <si>
    <t>Mala električna protočna grijalica vode snage 3,5 kW za instaliranje ispod izljevnog mjesta</t>
  </si>
  <si>
    <t>36.</t>
  </si>
  <si>
    <t>Električni bojler tople potrošne vode, volumena 120 litara i snage 2 kW, vertikalna montaža</t>
  </si>
  <si>
    <t>37.</t>
  </si>
  <si>
    <t>Električni bojler tople potrošne vode, volumena 80 litara i snage 2 kW, vertikalna montaža</t>
  </si>
  <si>
    <t>38.</t>
  </si>
  <si>
    <t>Električni bojler tople potrošne vode, volumena 150 litara i snage 2 kW, vertikalna montaža</t>
  </si>
  <si>
    <t>39.</t>
  </si>
  <si>
    <t>Sitni potrošni materijal pri montaži (elementi zavješenja cjevovoda, brtveni materijal, vijčana roba, ovjesnice,čvrsti i klizni  oslonci i sl.)</t>
  </si>
  <si>
    <t>40.</t>
  </si>
  <si>
    <t xml:space="preserve">Građevinski radovi pri montaži cijevi kao što su probijanja zidova, žljebljenja zidova i sl.sa izradom proturnih cijevi </t>
  </si>
  <si>
    <t>41.</t>
  </si>
  <si>
    <t>Hladna tlačna proba pritiskom 4 bara u trajanju 4 h</t>
  </si>
  <si>
    <t>42.</t>
  </si>
  <si>
    <t xml:space="preserve">Topla proba sistema grijanja sa balansiranjem mreže i mjerenjem temperature po prostorijama pri vanjskoj temperaturi nižoj od –5 °C </t>
  </si>
  <si>
    <t>43.</t>
  </si>
  <si>
    <t>Razni nepredvidivi radovi nastali na zahtjev investitora, odnosno nadzornog inženjera</t>
  </si>
  <si>
    <t>44.</t>
  </si>
  <si>
    <t>Troškovi transporta</t>
  </si>
  <si>
    <t>45.</t>
  </si>
  <si>
    <t>Montaža kompletno navedene opreme do potpune pogonske gotovosti</t>
  </si>
  <si>
    <t>3. IZOLATERSKI RADOVI</t>
  </si>
  <si>
    <t>Dobava i postavljanje termičke izolacije u plaštu od ALUMINIJSKOG LIMA - Za čelični cjevovod i ostalu vrstu opreme po m2 (od DN 20 do DN 50) .Izolacija čeličnog cjevovoda i ostale vrste opreme, aluminijskom folijom debljine 0,03mm, mineralnom vunom TDM 100 (B-2) komplet s distantnim prstenovima u razmaku od 1 m. Izvedba ravno i komplicirano.</t>
  </si>
  <si>
    <t>(Rav./komp.)  lim 0.8 mm</t>
  </si>
  <si>
    <t>Čišćenje čel.četkama vanjske površine cijevi cjevovoda, pranje sa dezoksidantom za željezo, te 2 premaza minijem ili bojom postojanom na temp. do 160°C u kompletu sa dobavom potrebnog potrošnog materijala</t>
  </si>
  <si>
    <t>Lakiranje lakom neizoliranih dijelova opreme (nosači, ovjesi,konzole i sl.),u kompletu sa dobavom potrošnog materijala.</t>
  </si>
  <si>
    <t>4. VENTILACIJA</t>
  </si>
  <si>
    <t>Ventilacijska okrugla zidna rešetka d 160</t>
  </si>
  <si>
    <t>Ventilacijska okrugla zidna rešetka d 100</t>
  </si>
  <si>
    <t xml:space="preserve">Spiro spojnica d 100 </t>
  </si>
  <si>
    <t>Spiro spojnica d 160</t>
  </si>
  <si>
    <t>Odsisni ventilator protoka 95 m3/h, prikladan za zidnu montažu</t>
  </si>
  <si>
    <t>Odsisni ventilator protoka 60 m3/h, prikladan za zidnu montažu</t>
  </si>
  <si>
    <t>Odsisni ventilator protoka 150 m3/h, prikladan za zidnu montažu</t>
  </si>
  <si>
    <t>Spiro cijev d 100</t>
  </si>
  <si>
    <t>Spiro cijev d 160</t>
  </si>
  <si>
    <t>Spiro koljeno d 100 90°</t>
  </si>
  <si>
    <t>Spiro koljeno d 160 90°</t>
  </si>
  <si>
    <t>Spiro redukcija d 160 - d 100</t>
  </si>
  <si>
    <t>Ventilacijska rešetka OAH1 425 x 125 mm, ugrađena u vrata, Aef=0,022 m2</t>
  </si>
  <si>
    <t>Montaža kompletne instalacije ventilacije do potpune pogonske gotovosti uključujući sav montažni i ovjesni pribor te sitni potrošni materijal</t>
  </si>
  <si>
    <t>5. INSTALACIJA VRF SUSTAVA</t>
  </si>
  <si>
    <t>Unutarnja kompaktna zidna VRF jedinica u kompletu s infracrvenim daljinskim upravljačem</t>
  </si>
  <si>
    <t>Predizolirane bakrene cijevi za freonsku
instalaciju plinske i tekuće faze namjenjene za rashladni medij R410A. U kompletu sa spojnicama i koljenima, spojnim i pričvrsnim materijalom. Cijevi moraju biti odmašćene, očišćene i osušene prije
ugradnje. Cijevi sljedećih dimenzija i količina:</t>
  </si>
  <si>
    <t>Toplinski Izolirane bakrene cijevi za freonsku
instalaciju plinske i tekuće faze namjenjene za rashladni medij R410A. U kompletu sa spojnicama i koljenima, spojnim i pričvrsnim materijalom. Cijevi moraju biti odmašćene, očišćene i osušene prije
ugradnje. Cijevi sljedećih dimenzija i količina:</t>
  </si>
  <si>
    <t>Izolirani bakreni spojni elementi (Y račve) za razvod medija R-410A za plinsku i tekuću fazu (2 komada po kompletu: plinska + tekuća faza), uključivo redukcije, sav vertikalni i
horizontalni transport te sav materijal i pribor do potpune pogonske gotovosti sukladno shemi VRF sustava iz strojarskog projekta</t>
  </si>
  <si>
    <t>Cijevi za odvod kondenzata s potrebnim spojnim, pričvrsnim i ovjesnim materijalom, dimenzija:</t>
  </si>
  <si>
    <t>d 16</t>
  </si>
  <si>
    <t>Multi Wi-Fi adapter za upravljanje VRF sustavom
putem interneta ili mobilnog telefona (ugradnja u vanjsku jedinicu VRF sustava). Jedan adapter za jednu vanjsku jedinicu.</t>
  </si>
  <si>
    <t xml:space="preserve">Pričvrsni i ovjesni materijal </t>
  </si>
  <si>
    <t>Sitni potrošni materijal</t>
  </si>
  <si>
    <t>Nadopunjavanje instalacije s plinom R410A:</t>
  </si>
  <si>
    <t xml:space="preserve">Transport navedene opreme do mjesta ugradnje kao i raznošenje opreme i alata po gradilištu. Povrat eventualno preostalog materijala na skladište izvođača, te čišćenje radilišta nakon završene montaže.  </t>
  </si>
  <si>
    <t>Provedba tlačne probe freonske instalacije min. 24 h uz pisano izvješće o uspješno obavljenim tlačnim probama na nepropusnost i postignutim parametrima. Troškovi energenata i pogonske energije nisu uključeni. Puštanje u pogon VRF sustava, dopunjavanje rashladnog sredstva i podešavanje parametara od strane ovlaštenog
servisera, izrada pisanih uputa za održavanje i rukovanje postrojenjem, obuka rukovatelja za rad s novougrađenom opremom, izrada atestne dokumentacije, garancije. Stavka uključuje i sav
potrebni materijal i radove za eventualno brtvljenje prodora cjevovoda kroz granice požarnih sektora, prema certificiranim postupcima uz upotrebu certificiranih materijala.</t>
  </si>
  <si>
    <t>Montaža kompletno navedene opreme VRF sustava do potpune pogonske gotovosti</t>
  </si>
  <si>
    <t>6.DIZALO</t>
  </si>
  <si>
    <t>Dobava i montaža vertikalno podizne platforme-lifta. Stavka uključuje kompletnu platformu, vrata voznog okna, kabinu, strojarnicu, pogonski elektromotor, pumpu, klip, čeličnu užad, vodilice kabine , vodilice jarma, govornu vezu kabina-upravljački ormar, rasvjetu voznog okna, kompletan pomoćni, ovjesni i potrošni materijal, puštanje u rad opreme, ispitivanje instalacije, pripremno-završne radove te troškove transporta</t>
  </si>
  <si>
    <t>REKAPITULACIJA-STROJARSKE INSTALACIJE</t>
  </si>
  <si>
    <t xml:space="preserve">                            </t>
  </si>
  <si>
    <t>6. DIZALO</t>
  </si>
  <si>
    <t>SVEUKUPNO</t>
  </si>
  <si>
    <t xml:space="preserve">STEL-ING d.o.o. /// Berislavićeva 66, 35000 Sl. Brod /// e-mail: kovacevic.mario@yahoo.com </t>
  </si>
  <si>
    <t>GLAVNI PROJEKT /// ELEKTROTEHNIČKI PROJEKT /// BROJ PROJEKTA: 24-10-GP-E /// ZOP: GP-21-2024</t>
  </si>
  <si>
    <t>Građevina: Rekonstrukcija poslovno-prodajne zgrade (dogradnja i prenamjena u poslovnu pretežito uslužnu)</t>
  </si>
  <si>
    <t>Investitor: AUTOPROMET SISAK d.o.o. (OIB: 71445870691); Zagrebačka ulica 19, 44000 Sisak</t>
  </si>
  <si>
    <t xml:space="preserve">Redni </t>
  </si>
  <si>
    <t>Opis opreme / rada</t>
  </si>
  <si>
    <t xml:space="preserve">Jedinica </t>
  </si>
  <si>
    <t>Količina</t>
  </si>
  <si>
    <t>Cijena</t>
  </si>
  <si>
    <t xml:space="preserve">Ukupna </t>
  </si>
  <si>
    <t>broj</t>
  </si>
  <si>
    <t>mjere</t>
  </si>
  <si>
    <t>GRO - GLAVNI RAZVODNI ORMAR</t>
  </si>
  <si>
    <t>Stavka podrazumjeva dobavu i ugradnju sljedeće opreme</t>
  </si>
  <si>
    <t>Zidni ormar 600x600x300 mm sa montažnom pločom, RAL 7032, zaštita IP55, sa sljedećom opremom:</t>
  </si>
  <si>
    <t>Kompaktni prekidač snage 160A/25kA, 3 polni, s podnaponskim isklopnikom</t>
  </si>
  <si>
    <t>Automatski 3P osigurač C80A</t>
  </si>
  <si>
    <t>Automatski 3P osigurač C50A</t>
  </si>
  <si>
    <t>Automatski 3P osigurač C32A</t>
  </si>
  <si>
    <t>Automatski 3P osigurač C16A</t>
  </si>
  <si>
    <t>Automatski 3P osigurač C10A</t>
  </si>
  <si>
    <t>Automatski 1P osigurač B10A</t>
  </si>
  <si>
    <t>Sklopka za isklop u nuždi</t>
  </si>
  <si>
    <t>Kabelski kanal perforirani 40x40mm</t>
  </si>
  <si>
    <t>Sabirnice za N i PE vodiče</t>
  </si>
  <si>
    <t>Žica za šemiranje P/F 16mm2</t>
  </si>
  <si>
    <r>
      <t>Žica za šemiranje P/F 1,5mm</t>
    </r>
    <r>
      <rPr>
        <vertAlign val="superscript"/>
        <sz val="8"/>
        <rFont val="Arial"/>
        <family val="2"/>
      </rPr>
      <t>2</t>
    </r>
  </si>
  <si>
    <r>
      <t>Žica za šemiranje P/F 2,5mm</t>
    </r>
    <r>
      <rPr>
        <vertAlign val="superscript"/>
        <sz val="8"/>
        <rFont val="Arial"/>
        <family val="2"/>
      </rPr>
      <t>2</t>
    </r>
  </si>
  <si>
    <r>
      <t>Žica za šemiranje P/F 4 mm</t>
    </r>
    <r>
      <rPr>
        <vertAlign val="superscript"/>
        <sz val="8"/>
        <rFont val="Arial"/>
        <family val="2"/>
      </rPr>
      <t>2</t>
    </r>
  </si>
  <si>
    <r>
      <t>Žica za šemiranje P/F 10 mm</t>
    </r>
    <r>
      <rPr>
        <vertAlign val="superscript"/>
        <sz val="8"/>
        <rFont val="Arial"/>
        <family val="2"/>
      </rPr>
      <t>2</t>
    </r>
  </si>
  <si>
    <t>Žica za šemiranje P/F 6 mm2</t>
  </si>
  <si>
    <t>DIN nosač</t>
  </si>
  <si>
    <t>Spojni i montažni materijal</t>
  </si>
  <si>
    <t>komplet</t>
  </si>
  <si>
    <t>Ispitivanje i izdavanje protokola</t>
  </si>
  <si>
    <t>Oprema vezana na GRO</t>
  </si>
  <si>
    <t>Kabel PP00 4x70 mm2</t>
  </si>
  <si>
    <t>Kabel PP00 4x16 mm2</t>
  </si>
  <si>
    <t>PEHD cijev fi 110 mm</t>
  </si>
  <si>
    <t>PRIKLJUČNI MJERNI ORMAR SSPMO</t>
  </si>
  <si>
    <t xml:space="preserve">Stavka podrazumjeva dobavu i ugradnju opreme prema shemi u poglavlju NACRTI. Isporuka navedene stavke je u obimu posla HEP ODS-a. Uključuje i priključnu snagu </t>
  </si>
  <si>
    <t>UKUPNO:</t>
  </si>
  <si>
    <t>Razvodni ormar RO-P1 (PRIZEMLJE)</t>
  </si>
  <si>
    <t>cijena</t>
  </si>
  <si>
    <t>Zidni ormar 600x2000x300 mm sa montažnom pločom, RAL 7032, zaštita IP55, sa sljedećom opremom:</t>
  </si>
  <si>
    <t>Zaštitni uređaj diferencijalne struje 60A/30mA, četveropolni</t>
  </si>
  <si>
    <t>Zaštitni uređaj diferencijalne struje 40A/30mA, četveropolni</t>
  </si>
  <si>
    <t>Automatski jednopolni osigurač B10A</t>
  </si>
  <si>
    <t>Automatski jednopolni osigurač B16A</t>
  </si>
  <si>
    <t>Automatski jednopolni osigurač B6A</t>
  </si>
  <si>
    <r>
      <t>Žica za šemiranje P/F 10mm</t>
    </r>
    <r>
      <rPr>
        <vertAlign val="superscript"/>
        <sz val="8"/>
        <rFont val="Arial"/>
        <family val="2"/>
      </rPr>
      <t>2</t>
    </r>
  </si>
  <si>
    <t>Oprema u prizemlju vezana na RO-P1</t>
  </si>
  <si>
    <t>Kabel PP00 5x16 mm2</t>
  </si>
  <si>
    <t>Kabel PP00 4x1,5 mm2</t>
  </si>
  <si>
    <t>Kabel PP00 3x1,5 mm2</t>
  </si>
  <si>
    <t>Kabel PP00 3x2,5 mm2</t>
  </si>
  <si>
    <t>Jednopolna sklopka, 10A-250V, nadžbukna</t>
  </si>
  <si>
    <t>Izmjenična sklopka, 10A-250V, nadžbukna</t>
  </si>
  <si>
    <t>Monofazna utičnica sa zaštitnim kontaktom, 16A/250V</t>
  </si>
  <si>
    <t>Trostruka monofazna utičnica sa zaštitnim kontaktom, 16A/250V, za montažu na parapetni kanal</t>
  </si>
  <si>
    <t>Instalacijskana plastična cijev Ø25</t>
  </si>
  <si>
    <t>Razvodne kutije s poklopcem 100x100x50</t>
  </si>
  <si>
    <t>Razvodne kutije s poklopcem okruglo 80x40</t>
  </si>
  <si>
    <t>Razvodne kutije Ø60</t>
  </si>
  <si>
    <t>Razvodni ormar RO-P2 (PRIZEMLJE)</t>
  </si>
  <si>
    <t>Oprema u prizemlju vezana na RO-P2</t>
  </si>
  <si>
    <t>Razvodni ormar RO-S1 (SUTEREN)</t>
  </si>
  <si>
    <t>Oprema u prizemlju vezana na RO-S1</t>
  </si>
  <si>
    <t>Razvodni ormar RO-S2 (SUTEREN)</t>
  </si>
  <si>
    <t>Oprema u prizemlju vezana na RO-S2</t>
  </si>
  <si>
    <t>Razvodni ormar RO-K1 (PRVI KAT)</t>
  </si>
  <si>
    <t>Oprema u prizemlju vezana na RO-K1</t>
  </si>
  <si>
    <t>Kabel PP00 5x10 mm2</t>
  </si>
  <si>
    <t>Razvodni ormar RO-K2 (DRUGI KAT)</t>
  </si>
  <si>
    <t>Oprema u prizemlju vezana na RO-K2</t>
  </si>
  <si>
    <t>1</t>
  </si>
  <si>
    <t>Dobava i montaža fotonaponskih modula od monokristalnog silicija,  slijedećih karakteristika :
 - max.460 W mono, 
 - Voc = max. 52,6 V
- Isc = max. 10,53 A
- Vmpp = max. 44,3 V
- Impp = max. 9,93 A                                                                                 - temp. Od -40°C do +80°C                                                                  - efikasnost modula: 20,14%                                                                  - dim. max. 2180x1002x40 mm</t>
  </si>
  <si>
    <t>2</t>
  </si>
  <si>
    <t>Dobava i montaža mrežnog DC-AC izmjenjivača I1, sljedećih karakteristika:
DC ulaz
- max ulazna struja (Idcmax): 22 A
- max kratkospojna struja polja: 30 A
- min. ulazni napon (Udc min): 200 V
- min. feed-in napon (Udc start):  200 V
- max ulazni napon (Udc max): 1100V
- broj MPP ulaza: 6                                                                                  - broj MPP nizova po ulazu: 2
AC izlaz
- AC nomin.izlaz (Pac,r): 50000 W (55000 VA)
- nazivni napon: 400VAC, 50/60 Hz
- Max.izlazna struja (Iac max.): 83,6 A</t>
  </si>
  <si>
    <t>3</t>
  </si>
  <si>
    <t>Nabava, isporuka i ugradnja aluminijske krovne konstrukcije:
- krovni nosač (kuka) za pričvrščenje na rog (crijep)
- Al nosivi profil jedinične dužine sa utorom gore/bočno koji se montira na krovni nosač
- spojni materijal za montažu panela (spojnice, stege)
- vijci za montažu
- PVC držač kabela</t>
  </si>
  <si>
    <t>4</t>
  </si>
  <si>
    <t xml:space="preserve">Dobava i polaganje  solarnih kabela presjeka 6 mm2  za međusobno povezivanje solarnih panela i pretvarača:
- presjek 6mm2
- vatrootporan
- UV otporan za FNE sustave
- 1500Vcc
</t>
  </si>
  <si>
    <t>5</t>
  </si>
  <si>
    <t>Dobava MC4 konektora za spajanje stringova 6mm2(+ i -)</t>
  </si>
  <si>
    <t>par</t>
  </si>
  <si>
    <t>6</t>
  </si>
  <si>
    <t xml:space="preserve">Dobava i montaža  AC  ormara pretvarača, PVC, nadžbukni: 
</t>
  </si>
  <si>
    <t>kompl</t>
  </si>
  <si>
    <t>7</t>
  </si>
  <si>
    <t xml:space="preserve">Dobava i montaža  DC  ormara pretvarača, PVC, nadžbukni: 
</t>
  </si>
  <si>
    <t>8</t>
  </si>
  <si>
    <t xml:space="preserve">Dobava i polaganje kabela dijelom u zidu i dijelom u kanalici  </t>
  </si>
  <si>
    <t>9</t>
  </si>
  <si>
    <t>Dobava i montaža  gromobranske instalacije</t>
  </si>
  <si>
    <t>10</t>
  </si>
  <si>
    <t>Nabava, isporuka i ugradnja zaštitnih pvc cijevi za kabele</t>
  </si>
  <si>
    <t>11</t>
  </si>
  <si>
    <t>Montaža kompletnog PV-postrojenja, uključuje izradu podkonstrukcije, montaža modula, polaganje vodova, montaža pretvarača, spajanje svih komponenti, ispitivanje i puštanje u pogon postrojenja.</t>
  </si>
  <si>
    <t>12</t>
  </si>
  <si>
    <t>Izrada zaštitnog uzemljenja vodom P/F 16 mm2, uključivo spajanje na glavno izjednačenje potencijala.</t>
  </si>
  <si>
    <t>13</t>
  </si>
  <si>
    <t>Troškovi transporta opreme na mjesto gradnje.</t>
  </si>
  <si>
    <t>14</t>
  </si>
  <si>
    <t>Konfiguracija izmjenjivača.</t>
  </si>
  <si>
    <t>15</t>
  </si>
  <si>
    <t>Potrebna ispitivanja od ovlaštenog ispitivača prema pravilima struke i važečim normama  za sunčane elektrane i prema zahtjevima HEP ODS-a i sva ostala potrebna dokumentacija</t>
  </si>
  <si>
    <t>16</t>
  </si>
  <si>
    <t>Stručni nadzor nad izvođenjem radova na izgradnji sunčane elektrane</t>
  </si>
  <si>
    <t>Komunikacijski ormar KO</t>
  </si>
  <si>
    <t xml:space="preserve"> Dobava i montaža komunikacijskog razdjelnika 
· zidni
· vanjskih dimenzija 800x2000 mm (ŠxD) 
· visine min. 42U 
· staklena vrata s prednje strane 
· zaključavanje svih stranica razdjelnika (prednje, bočne, stražnje), 
· s prednjim i stražnjim nosačima za ugradnju 19” opreme 
· podnožje s ventilacijskim otvorima i elementima za niveliranje 
· s elementima za aktivno hlađenje (ventilacija s termoregulacijom) 
· instalacija napajanja  
· instalacija uzemljenja (set kabela i šina za uzemljenje) 
· zaštita prema IP 30 
· s po 4 kom. kaveznih matica i vijaka po 1U visine 
· s elementima za označavanje i označavanjem, s tiskanim ispisom oznaka </t>
  </si>
  <si>
    <t>Dobava i montaža police za 19" komunikacijski razdjelnik 
· dubine min. 500 mm 
· nosivost min. 50 kg 
· za montažu između prednjih i stražnjih 19" nosača 
· sa elementima za ugradnju
Horizontalne vodilice kabela s prstenima</t>
  </si>
  <si>
    <t xml:space="preserve">Dobava i montaža police za 19" komunikacijski razdjelnik dubine min. 350 m, visine max. 2U, sa elementima za ugradnju
 </t>
  </si>
  <si>
    <t xml:space="preserve"> Dobava i ugradnja elemenata za horizontalno vođenje kabela 
· visine 1U, za ugradnju u 19” razdjelnik 
· s min. 4 prstena za vođenje kabela 
· za vođenje min. 64 prespojnih kabela 
· s elementima za ugradnju </t>
  </si>
  <si>
    <t xml:space="preserve"> Dobava i montaža elemenata za vertikalno vođenje kabela
· metalni prsteni 
· za vođenje min. 200 prespojnih kabela 
· s elementima za ugradnju na bočne strane 19" nosača </t>
  </si>
  <si>
    <t xml:space="preserve"> Dobava i ugradnja šuko naponske letve s min. 7 priključaka 
· 16A / 230V 
· za ugradnju u 19” razdjelnik, bez ugrađenog prekidača 
· s priključnim kabelom dužine min. 2 m 
· s elementima za ugradnju i sa spajanjem na priključni konektor 
· s elementima za označavanje, ispisom oznaka i označavanjem priključne letve (oznake moraju biti otporne na prašinu i vlagu) </t>
  </si>
  <si>
    <t xml:space="preserve"> Dobava i montaža dvostruke šuko utičnice s kutijom za nadžbuknu montažu 
· sa spajanjem na naponski kabel 
· s elementima za označavanje i označavanjem, s tiskanim ispisom oznaka</t>
  </si>
  <si>
    <t xml:space="preserve"> Dobava i montaža UTP Cat.6 prespojnog panela 
· s 32 priključna mjesta RJ45 
· za ugradnju u 19" razdjelnik, visine 1U 
· sa nabacivanjem parica kabela 
· s elementima za označavanje, s tiskanim ispisom oznaka i označavanjem prespojnog panela i svakog priključnog mjesta (oznake moraju biti otporne na prašinu i vlagu) </t>
  </si>
  <si>
    <t xml:space="preserve"> Dobava i montaža Fast Ethernet 24-port 19˝  prespojnog panela  
 s 16 priključnih mjesta RJ45 
 za ugradnju u 19" razdjelnik, visine 1U 
 sa nabacivanjem parica kabela  s elementima za označavanje, s tiskanim ispisom oznaka i označavanjem  prespojnog panela i svakog priključnog mjesta (oznake moraju biti otporne na prašinu i vlagu) </t>
  </si>
  <si>
    <t>KABELSKI KANALI I INSTALACIJSKE CIJEVI</t>
  </si>
  <si>
    <t xml:space="preserve">Dobava i montaža PVC kabelskog kanala s poklopcem poprečnog presjeka min. 170x70 mm, samogasivi, bijele boje     s kompletom za nadžbuknu montažu (uložak i vijak)
</t>
  </si>
  <si>
    <t xml:space="preserve">Dobava i montaža PVC kabelske kanalice s poklopcem
poprečnog presjeka min. 60x40 mm, samogasivi, bijele boje,s kompletom za nadžbuknu montažu (uložak i vijak), s izradom proboja, sa sanacijom zida/stropa i silikoniziranjem 
</t>
  </si>
  <si>
    <t xml:space="preserve">Dobava i montaža PVC kabelske kanalice s poklopcem
poprečnog presjeka min. 25x15 mm, samogasivi, bijele boje, s kompletom za nadžbuknu montažu (uložak i vijak), s izradom proboja, sa sanacijom zida/stropa i silikoniziranjem </t>
  </si>
  <si>
    <t xml:space="preserve"> Dobava i montaža PVC podne plastične kanalice (polukružna) 
dimenzija 74x18 mm, samogasivi, bijele boje, s kompletom za nadžbuknu montažu (uložak i vijak)
</t>
  </si>
  <si>
    <t>Dobava i polaganje plastične savitljive rebraste instalacijske cijevi
unutarnjeg promjera min. Ø 50 mm, otporna na vanjske utjecaje, otporna na plamen (tipska oznaka: CSPS - siva)     
s podžbuknim polaganjem u zid
sa naknadnom sanacijom zida
sa finom obradom i bojanjem (bijelo)</t>
  </si>
  <si>
    <t xml:space="preserve">Dobava i polaganje plastične savitljive rebraste instalacijske cijevi
unutarnjeg promjera min. Ø 32 mm, otporna na vanjske utjecaje, otporna na plamen (tipska oznaka: CSPS - siva) 
s podžbuknim polaganjem u zid
sa naknadnom sanacijom zida / stropa
sa finom obradom i bojanjem (bijelo) </t>
  </si>
  <si>
    <t xml:space="preserve">BAKRENI KABELI, PRIKLJUČNICE I KONEKTORI
</t>
  </si>
  <si>
    <t>Dobava, polaganje, spajanje -  OPTIČKI KABEL 4 NITI</t>
  </si>
  <si>
    <t>Dobava, polaganje, spajanje -  OPTIČKI KABEL 12 NITI</t>
  </si>
  <si>
    <t xml:space="preserve">Dobava i polaganje 4 paričnog UTP kabela Cat.6
punožičani
samogasivi, bez halogena (LSOH)
požarne otpornosti (engl. Fire Rating) prema IEC 60332-1;  
Category 6, prema normi HRN EN 50173-1 · s označavanjem na oba kraja naljepnicama otpornim na vlagu i prljavštinu, 
s tiskanim ispisom oznaka
</t>
  </si>
  <si>
    <t xml:space="preserve"> Dobava i montaža dvostruke utičnice UTP Cat.6 za ugradnju u parapetni kabelski kanal 
· s pripadajućom parapetnom kutijom, poklopcem i 2xRJ45 modula
· sa nabacivanjem parica kabela
· s kompletom za montažu (uložak i vijak) 
· s elementima za označavanje, ispisom oznaka i označavanjem priključnih mjesta (oznake moraju biti otporne na prašinu i vlagu)
</t>
  </si>
  <si>
    <t>Dobava i montaža  monofazne utičnice sa zaštitnim kontaktom, 16A/250V, plave boje, za spajanje na UPS</t>
  </si>
  <si>
    <t xml:space="preserve"> Dobava prespojnih tvorničkih U/UTP Cat.6 kabela 1 m </t>
  </si>
  <si>
    <t xml:space="preserve"> Dobava prespojnih tvorničkih U/UTP Cat.6 kabela 3 m </t>
  </si>
  <si>
    <t>NEPREKIDNO NAPAJANJE</t>
  </si>
  <si>
    <t xml:space="preserve">UPS uređaj klase ON-LINE energije bez prekida napajanja u slučaju nestanka električne energije s 20 minutnom rezervom. Za potrebe komunikacijske opreme. --Snaga  kVA/kW 1kVA/900W
ULAZ
Nazivni napon V 230
Raspon napona 50% opterećenje VAC (110-300) ± 5VAC
Raspon napona 100% opterećenje VAC (160-300) ± 5VAC
Frekvencija (automatsko podešavanje) Hz 40/70
Faktor snage – ≥0.98
Raspon zaobilaznog napona V -34/+32
IZLAZ
Napon V 0.52 / 0.50
Regulacija napona  – hidraul.
Frekvencija Hz 2530
Oblik signala – Čista sinusoida
Krest faktor – 3:01
Harmonička izobličenja  – ≤ %2 (stabilan potrošač)
  ≤ %5 (oscilirajući potrošač)
Vrijeme prijenosa – AC prema bateriji:0 ms
Kapacitet preopterećenja  105%-150%: prijenost prema zaobilaznom naponu 30s
  &gt;150%: prijenost prema zaobilaznom naponu 300 ms
EFIKASNOST
AC mod ≥%90
Baterijski mod ≥%87
ECO mod ≥%94                                                                                                                                       BATERIJA DC napon  VDC 24 
Integrirane baterije (standardni model)  – 2 x 12V 9Ah
Struja punjenja Standardni model: 1A
Produženi vijek model: 6A
Tipično vrijeme punjenja: 8 sati do 90% ukupnog kapaciteta                                                                                                                                                           
</t>
  </si>
  <si>
    <t>MJERENJA I MJERNI CERTIFIKATI</t>
  </si>
  <si>
    <t xml:space="preserve"> Mjerenje i izdavanje certifikata o izvršenom mjerenju kvalitete instaliranih  UTP veza
· sukladnost izmjerenih vrijednosti sa vrijednostima prema normi HRN EN 50173-1 za "Class E", odnosno za Cat.6 "Permanent Link" 
· rezultate dostaviti u elektroničkom obliku, sortirani po etažama i zonama, s  odgovarajućim oznakama i izračunom ukupne dužine izmjerenih kabela
</t>
  </si>
  <si>
    <t xml:space="preserve"> Ispitivanje ispravnosti instalirane telefonske parice mjernim instrumentom ili
zujalicom na kratki spoj 
· s izdavanjem izjave o ispravnosti ispitanih telefonskih parica
</t>
  </si>
  <si>
    <t xml:space="preserve"> Mjerenje i izdavanje certifikata o izvršenom mjerenju otpora uzemljenjam komunikacijskog razdjelnika </t>
  </si>
  <si>
    <t>Dobava, montaža i spajanje analogno adresibilne vatrodojavne centrale,  ugrađen pisač, LCD prikazivač linija na hrvatskom jeziku, napajanje B5-PSU, relejni modul B3-REL 16, dim 600x445x225, modul za MIN 6 petlji po 250 adresabilnih elemenata,sa BUS sabirnicom, komplet spojnih kabela i konektora, modul za umreženje B5-NET4-485</t>
  </si>
  <si>
    <t>Dobava i ugradnja vatrootpornog kućišta izvedenog u klasi T-60, za smještaj vatrodojavne centrale</t>
  </si>
  <si>
    <t xml:space="preserve">Dobava, montaža i spajanje analogno adresibilnog ručnog javljača požara, komplet s podnožjem i izolatorom petlje, </t>
  </si>
  <si>
    <t>Baterija 12V/ 45Ah</t>
  </si>
  <si>
    <t>Dobava, montaža i spajanje kombiniranog programibilnog optičkog, termičkog i optičko-termičkog analogno-adresabilnog javljača požara, komplet sa podnožjem i izolatorom petlje (podnožje javljača USB-501)</t>
  </si>
  <si>
    <t>Dobava, montaža i spajanje transpondera</t>
  </si>
  <si>
    <t>Dobava, montaža i spajanje sirene s bljeskalicom za unutarnju montažu snage 100dB/m, tip kao VTB-01</t>
  </si>
  <si>
    <t>Dobava, montaža i spajanje kabela JE-H(St)H-FE180/E30 2x2x0,8mm. Vertikale izvesti u instalacijskog cijevi, a horizontale u posebnoj trasi</t>
  </si>
  <si>
    <t>Dobava, montaža i spajanje vatrootporne cijevi za polaganje kabela HFX promjera 23mm</t>
  </si>
  <si>
    <t>Dobava i montaža vatrootpornih obujmica</t>
  </si>
  <si>
    <t>Označavanje svakog elementa sa samoljepljivim naljepnicama</t>
  </si>
  <si>
    <t>Dobava, montaža i spajanje kabela BM YAY 2x2x0,8mm. Vertikale izvesti u instalacijskog cijevi, a horizontale u posebnoj trasi</t>
  </si>
  <si>
    <t>Montaža i spajanje opreme sustava vatrodojave</t>
  </si>
  <si>
    <t>Radovi na puštanju sustava u rad i funkcionalno ispitivanje te instalacija i parametriranje proširenja centralne nadzorno-upravljačke aplikacije</t>
  </si>
  <si>
    <t>Ispitivanje sustava od strane ovlaštene ustanove, te pribavljanje svih potrebnih certifikata i uvjerenja</t>
  </si>
  <si>
    <t>Izrada korisničkih uputstava, obuka korisnika i primopredaja sustava</t>
  </si>
  <si>
    <t>Opis stavke</t>
  </si>
  <si>
    <t>Jedinična cijena</t>
  </si>
  <si>
    <t xml:space="preserve">GROMOBRANSKA INSTALACIJA I UZEMLJENJE </t>
  </si>
  <si>
    <t xml:space="preserve">Nabavka i ugradnja - Okrugli vodič  namjenjen je izradi gromobranskih vodova nad zemljom i u zemlji. Promjera je   Ø 10 mm, izrađen od prokroma i aluminijske legure. 
</t>
  </si>
  <si>
    <t>Nabavka i ugradnja - Križna spojnica namijenjena je za spajanje okruglih vodiča promjera 10 mm. Sastavljena je od 2 pločice dimenzija 40 mm x 40 mm i 1 vijka M10</t>
  </si>
  <si>
    <t>Nabavka i ugradnja - Križna spojnica namjenjena je za spajanje okruglih vodiča promjera od ¨ 8 - ¨12 mm. Sastavljena je od 3 pločice dimenzija 48 mm x 48 mm, 4 vijka M6 i 4 matice M6</t>
  </si>
  <si>
    <t xml:space="preserve">Nabavka i ugradnja - Križna spojnica namijenjena je za spajanje plosnatog vodiča širine 40 mm i okruglog vodiča promjera ¨ 16 mm. Sastavljena je od 3 pločice dimenzija 58 mm x 58 mm, 4 vijka M8 i 4 matice M8.   </t>
  </si>
  <si>
    <t>Nabavka i ugradnja - Cjevasta spojnica namjenjena je za spajanje okruglog vodiča promjera od ¨ 8 - ¨12 mm. Sastavljena je od cijevi promjera ¨ 17 mm i 4 vijka M6</t>
  </si>
  <si>
    <t>Nabavka i ugradnja - Nosač  za oluk  namjenjen je za spajanje plosnatog vodiča širine do 35 mm i oluka. Sastavljen je od 3 pločice širine 58 mm, 2 vijka M8, 2 matice M8, 2 vijka M6 i 2 matice M6</t>
  </si>
  <si>
    <t>'Nabavka i ugradnja - Krovni nosač  - namijenjen je za montažu okruglog vodiča promjera od ¨ 8 - ¨ 10 mm na krov pokriven . Sastavljen je od nosača, 2 vijka M6, 2 matice M6 i pločice 55 mm x 25 mm</t>
  </si>
  <si>
    <t>Nabavka i ugradnja - odstojnika za montažu na fasadu  - namijenjen je za montažu okruglog vodiča promjera od 10 mm . Sastavljen je od nosača, 2 vijka M6, 2 matice M6</t>
  </si>
  <si>
    <t>Nabavka i ugradnja - Gromobranska hvataljka Ø50, vrh hvataljke Ø10mm, duljina: 1,5 m, Alu</t>
  </si>
  <si>
    <t xml:space="preserve">Nabavka i ugradnja - Traka za uzemljenje FeZn 25x4 mm </t>
  </si>
  <si>
    <t xml:space="preserve">'Nabavka i ugradnja - Sonda za uzemljenje dužine 3m, promjera min 50 mm </t>
  </si>
  <si>
    <t>Iskop i zatrpavanje rova za polaganje trake za uzemljenje FeZn 40x4 mm, dužine cca 60m i dubine 0,8m</t>
  </si>
  <si>
    <t>Sanacija staze</t>
  </si>
  <si>
    <t>Ostali radovi na spajanju instalacije gromobrana</t>
  </si>
  <si>
    <t>Ispitivanje gromobranske  instalacije, mjerenje uz izdavanje propisanog certifikata.</t>
  </si>
  <si>
    <t>SPECIFIKACIJA RASVJETE</t>
  </si>
  <si>
    <t>Svjetiljka ugradna, LED izvor svjetlosti, aluminijsko kućište, visoko sjajni odsijač, UGR&lt;22, kut distribucije svjetla 65°-75°, efektivni svjetosni tok ili svjetlosni tok svjetiljke s uračunatim gubicima u optičkom sustavu min 1265 lm, snaga sistema max 11,5 W (LED izvor+driver), ukupna svjetlosna i skoristivost svjetiljke min. 110 lm/W, životni vijek LED modula pri L70B50 ≥60.000 radnih sati uz 70% održavanja inicijalnog svjetlosnog toka, svjetiljka spada u klasu fotobiološkog zračenja RG0, kvaliteta boje svjetla SDCM≤3, Ra&gt;80, temperatura boje svjetlosti 4000K, zaštita ≥IP44, PF≥0,9, ENEC certifikat, dimenzije svjetiljke približno ф165x58 mm (dozvoljeno odstupanje ±10%), CRTEŽI POZICIJA A1</t>
  </si>
  <si>
    <t>Svjetiljka ugradna, LED izvor svjetlosti, aluminijsko kućište, visoko sjajni odsijač, UGR&lt;19, kut distribucije svjetla 65°-75°, efektivni svjetosni tok ili svjetlosni tok svjetiljke s uračunatim gubicima u optičkom sustavu min 1660 lm, snaga sistema max 15 W (LED izvor+driver), ukupna svjetlosna i skoristivost svjetiljke min. 110 lm/W, životni vijek LED modula pri L70B50 ≥60.000 radnih sati uz 70% održavanja inicijalnog svjetlosnog toka, svjetiljka spada u klasu fotobiološkog zračenja RG0, kvaliteta boje svjetla SDCM≤3, Ra&gt;80, temperatura boje svjetlosti 4000K, zaštita ≥IP44, PF≥0,9, ENEC certifikat, dimenzije svjetiljke približno ф225x73 mm (dozvoljeno odstupanje ±10%) CRTEŽI POZICIJA A2</t>
  </si>
  <si>
    <t>Svjetiljka ugradna, LED izvor svjetlosti, aluminijsko kućište, visoko sjajni odsijač, UGR&lt;19, kut distribucije svjetla 65°-75°, efektivni svjetosni tok ili svjetlosni tok svjetiljke s uračunatim gubicima u optičkom sustavu min 2530 lm, snaga sistema max 23 W (LED izvor+driver), ukupna svjetlosna i skoristivost svjetiljke min. 110 lm/W, životni vijek LED modula pri L70B50 ≥60.000 radnih sati uz 70% održavanja inicijalnog svjetlosnog toka, svjetiljka spada u klasu fotobiološkog zračenja RG0, kvaliteta boje svjetla SDCM≤3, Ra&gt;80, temperatura boje svjetlosti 4000K, zaštita ≥IP44, PF≥0,9, ENEC certifikat, dimenzije svjetiljke približno ф225x73 mm (dozvoljeno odstupanje ±10%) CRTEŽI POZICIJA A3</t>
  </si>
  <si>
    <t>Svjetiljka ugradna, LED izvor svjetlosti, mogućnost regulacije svjetlosnog toka, aluminijsko kućište, visoko sjajni odsijač, UGR&lt;16, kut distribucije svjetla 35°-45°, efektivni svjetosni tok ili svjetlosni tok svjetiljke s uračunatim gubicima u optičkom sustavu min 600 lm, snaga sistema max 8 W (LED izvor+driver), ukupna svjetlosna i skoristivost svjetiljke min. 75 lm/W, životni vijek LED modula pri L70B50 ≥50.000 radnih sati uz 70% održavanja inicijalnog svjetlosnog toka, svjetiljka spada u klasu fotobiološkog zračenja RG0, kvaliteta boje svjetla SDCM&lt;4, Ra&gt;80, temperatura boje svjetlosti 4000K, zaštita ≥IP44, PF≥0,9, ENEC certifikat, dimenzije svjetiljke približno ф90x60 mm (dozvoljeno odstupanje ±10%), CRTEŽI POZICIJA A4</t>
  </si>
  <si>
    <t>Ugradna linijska LED svjetiljka za ugradnju u G/K strop,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spada u klasu fotobiološkog zračenja RG0 u skladu s EN62471:2009, svjetiljka dimenzija približno 1142x80x136 mm (dozvoljeno odstupanje ±10%), CRTEŽI POZICIJA A5</t>
  </si>
  <si>
    <t>Ovjesna linijska LED svjetiljka, direktno-indirektna distribucija svjetlosti u omjeru 66/34, mikroprizmatični difuzor, aluminijsko kućište, snaga sistema max. 63 W, svjetlosni tok svjetiljke min. 7000 lm, ukupna svjetlosna iskoristivost svjetiljke min. 110 lm/W, životni vijek LED modula L80B10 ≥60.000 radnih sati uz 80% održavanja inicijalnog svjetlosnog toka, ≥IP40, ≥IK04, temperatura boje svjetlosti 4000K, svjetiljka dimenzija približno 1700x48x70 mm (dozvoljeno odstupanje ±10%), CRTEŽI POZICIJA A6</t>
  </si>
  <si>
    <t>6.1.</t>
  </si>
  <si>
    <t>Ovjesni pribor tip A+B</t>
  </si>
  <si>
    <t>Ugradna linijska LED svjetiljka za ugradnju u G/K strop,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spada u klasu fotobiološkog zračenja RG0 u skladu s EN62471:2009, svjetiljka dimenzija približno 1142x80x136 mm (dozvoljeno odstupanje ±10%), CRTEŽI POZICIJA A7</t>
  </si>
  <si>
    <t>Ugradna linijska LED svjetiljka za ugradnju u G/K strop,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spada u klasu fotobiološkog zračenja RG0 u skladu s EN62471:2009, svjetiljka dimenzija približno 1142x80x136 mm (dozvoljeno odstupanje ±10%), CRTEŽI POZICIJA A8</t>
  </si>
  <si>
    <t>Ugradna linijska LED svjetiljka za ugradnju u G/K strop,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spada u klasu fotobiološkog zračenja RG0 u skladu s EN62471:2009, svjetiljka dimenzija približno 1142x80x136 mm (dozvoljeno odstupanje ±10%),  CRTEŽI POZICIJA A9</t>
  </si>
  <si>
    <t>9.1.</t>
  </si>
  <si>
    <t>Spojni komad</t>
  </si>
  <si>
    <t>Ugradna svjetiljka, LED izvor svjetlosti, čelično kućište, pokrov od prizmatičnog difuzora, UGR&lt;19, širina snopa distribucije svjetla 80-90°, efektivni svjetosni tok ili svjetlosni tok svjetiljke s uračunatim gubicima u optičkom sustavu min 3700 lm, snaga sistema max 31 W (LED izvor+driver), ukupna svjetlosna iskoristivost svjetiljke sa uračunatim gubicima u optičkom sustavu min. 120 lm/W, životni vijek LED modula L75B50 ≥50.000 radnih sati uz 75 % održavanja inicijalnog svjetlosnog toka, maksimalna udarna struja pokretanja Imax=19A pri Tref=0,28 ms, Ra≥80, SDCM &lt;3, temperatura boje svjetlosti 4000K, zaštita od prodora stranog tijela ≥IP44, ENEC certifikat, RoHS certifikat, dimenzije svjetilje približno 1197x297x41 mm (dozvoljeno odstupanje ±10%),       CRTEŽI POZICIJA A11</t>
  </si>
  <si>
    <t>11.1.</t>
  </si>
  <si>
    <t>Okvir za ugradnju u G/K</t>
  </si>
  <si>
    <t>Ovjesna linijska LED svjetiljka, direktno-indirektna distribucija svjetlosti u omjeru 66/34, mikroprizmatični difuzor, aluminijsko kućište, snaga sistema max. 42 W, svjetlosni tok svjetiljke min. 4667 lm, ukupna svjetlosna iskoristivost svjetiljke min. 111 lm/W, životni vijek LED modula L80B10 ≥60.000 radnih sati uz 80% održavanja inicijalnog svjetlosnog toka, ≥IP40, ≥IK04, temperatura boje svjetlosti 4000K, svjetiljka dimenzija približno 1138x48x70 mm (dozvoljeno odstupanje ±10%), CRTEŽI POZICIJA A12</t>
  </si>
  <si>
    <t>12.1.</t>
  </si>
  <si>
    <t>Ovjesna linijska LED svjetiljka,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dimenzija približno 1127x63x74 mm (dozvoljeno odstupanje ±10%), CRTEŽI POZICIJA A13</t>
  </si>
  <si>
    <t>Ovjesna linijska LED svjetiljka,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dimenzija približno 1122x63x74 mm (dozvoljeno odstupanje ±10%),  CRTEŽI POZICIJA A14</t>
  </si>
  <si>
    <t>Ovjesna linijska LED svjetiljka,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dimenzija približno 1127x63x74 mm (dozvoljeno odstupanje ±10%),  CRTEŽI POZICIJA A15</t>
  </si>
  <si>
    <t>15.1.</t>
  </si>
  <si>
    <t>Ovjesni pribor tip A</t>
  </si>
  <si>
    <t>15.2.</t>
  </si>
  <si>
    <t>Ovjesni pribor tip B</t>
  </si>
  <si>
    <t>15.3.</t>
  </si>
  <si>
    <t>Zidna nadgradna LED svjetiljka, aluminijsko kućište, temperatura boje svjetlosti 4000K, Ra&gt;80, snage max. 14W, svjetlosni tok min. 2059 lm, ukupna svjetlosna iskoristivost svjetiljke min. 147 lm/W, životni vijek LED modula L70B50 50.000 radnih sati uz 70% održavanja inicijalnog svjetlosnog toka, IP44, IK04, svjetiljka dimenzija približno 575x50x60 mm (dozvoljeno odstupanje ±10%), CRTEŽI POZICIJA A16</t>
  </si>
  <si>
    <t>Nadgradna svjetiljka okruglog oblika, LED izvor svjetlosti, aluminijsko kućište, bijela boja, opalnii difuzor, UGR≤22, radna struja 1050mA, Ra≥90, 4000K, efektivni svjetlosni tok min 3113 lm, snaga sistema (LED izvor+driver) max 25W, ukupna svjetlosna iskoristivost svjetiljke 124 lm/W, kvaliteta LED svjetlosti Mac Adams 3, životni vijek L80/B10 ≥ 50000h, IP54, fotobiloška kategorija RG0 prema EN62471:2009, dimenzije pxv 397x86mm ( dozvoljeno odstupanje±10%),  CRTEŽI POZICIJA A17</t>
  </si>
  <si>
    <t>Nadgradna zidna svjetiljka, LED izvor svjetlosti, indirektna distribucija svjetla, aluminijsko kućište, bijela boja, opalni difuzor, UGR≤22, Ra≥90, 4000K, efektivni svjetlosni tok min 2016 lm, snaga sistema (LED izvor+driver) max 24 W, ukupna svjetlosna iskoristivost svjetiljke 84 lm/W, kvaliteta LED svjetlosti Mac Adams 3, životni vijek L80/B10 ≥ 50000h, IP40, fotobiloška kategorija RG0/RG1 prema EN62471:2009, dimenzije vxšxd 40x315x130mm (dozvoljeno odstupanje±5%), CRTEŽI POZICIJA A18</t>
  </si>
  <si>
    <t>Svjetiljka za vanjsku rasvjetu, LED izvor svjetlosti, kućište od lijevanog aluminija, silikonska brtva, asimetrična optika,  efektivni svjetosni tok ili svjetlosni tok svjetiljke s uračunatim gubicima u optičkom sustavu ≥ 5773 lm, snaga sistema max 53 W (LED izvor+driver), ukupna svjetlosna iskoristivost svjetiljke ≥ 108 lm/W, Ra≥80, temperatura boje svjetlosti 3000K, životni vijek LED modula L70B10 ≥ 150.000 radnih sati uz 70% održavanja inicijalnog svjetlosnog toka, zaštita od zaprljanja IP66, stupanj mehaničke zaštite IK07, cos φ ≥ 0,9, dimenzija max. 233x319x85 mm, CRTEŽI POZICIJA A19</t>
  </si>
  <si>
    <t>Svjetiljka nadgradna, LED izvor svjetlosti, UV stabilno plastično kućište, difuzor od UV stabilnog polikarbonata, efektivni svjetosni tok ili svjetlosni tok svjetiljke s uračunatim gubicima u optičkom sustavu min. 1460 lm, snaga sistema max. 12 W (LED izvor+driver), ukupna svjetlosna iskoristivost svjetiljke sa uračunatim gubicima u optičkom sustavu min. 121 lm/W, životni vijek LED modula L90B10 ≥50.000 radnih sati uz 90% održavanja inicijalnog svjetlosnog toka, uzvrat boje Ra&gt;80, temperatura boje svjetlosti 4000K, zaštita min. IP54, mehanička zaštita svjetiljke min. IK10, rad na maksimalnoj temperaturi okoline +35°C, ENEC certifikat, CRTEŽI POZICIJA A20</t>
  </si>
  <si>
    <t>vjetiljka nadgradna, LED izvor svjetlosti, UV stabilno plastično kućište, difuzor od UV stabilnog polikarbonata, efektivni svjetosni tok ili svjetlosni tok svjetiljke s uračunatim gubicima u optičkom sustavu min. 1890 lm, snaga sistema max. 16 W (LED izvor+driver), ukupna svjetlosna iskoristivost svjetiljke sa uračunatim gubicima u optičkom sustavu min. 118 lm/W, životni vijek LED modula L90B10 ≥50.000 radnih sati uz 90% održavanja inicijalnog svjetlosnog toka, uzvrat boje Ra&gt;80, temperatura boje svjetlosti 4000K, zaštita min. IP54, mehanička zaštita svjetiljke min. IK10, rad na maksimalnoj temperaturi okoline +35°C, ENEC certifikat, CRTEŽI POZICIJA A21</t>
  </si>
  <si>
    <t>Svjetiljka nadgradna, LED izvor svjetlosti, UV stabilno plastično kućište, difuzor od UV stabilnog polikarbonata, efektivni svjetosni tok ili svjetlosni tok svjetiljke s uračunatim gubicima u optičkom sustavu min. 2930lm, snaga sistema max. 27W (LED izvor+driver), ukupna svjetlosna iskoristivost svjetiljke sa uračunatim gubicima u optičkom sustavu min. 108 lm/W, životni vijek LED modula L90B10 ≥50.000 radnih sati uz 90% održavanja inicijalnog svjetlosnog toka, uzvrat boje Ra&gt;80, temperatura boje svjetlosti 4000K, zaštita min. IP54, mehanička zaštita svjetiljke min. IK10, rad na maksimalnoj temperaturi okoline +35°C, ENEC certifikat, CRTEŽI POZICIJA A22</t>
  </si>
  <si>
    <t>Nadgradna svjetiljka, LED izvor svjetlosti, metalno kućište, difuzor od polikarbonata, efektivni svjetosni tok ili svjetlosni tok svjetiljke s uračunatim gubicima u optičkom sustavu min. 2350 lm, snaga sistema max. 22W (LED izvor+driver), ukupna svjetlosna iskoristivost svjetiljke sa uračunatim gubicima u optičkom sustavu min. 106 lm/W, životni vijek LED modula L90B10 ≥50.000 radnih sati uz 90% održavanja inicijalnog svjetlosnog toka, Ra&gt;80, temperatura boje svjetlosti 4000K, zaštita min. IP40, ENEC certifikat, dimenzija svjetiljke približno 610x146x58 mm  (dozvoljeno odstupanje ±10%),                        CRTEŽI POZICIJA A23</t>
  </si>
  <si>
    <t>Zidna svjetiljka za rasvjetu iznad ogledala, LED izvor svjetlosti, svjetlosni tok min. 370 lm, snaga sistema max. 5 W (LED izvor+driver), životni vijek LED modula 15.000 radnih sati, temperatura boje svjetlosti 3000K, zaštita min. IP44, zaštita u klasi II, dimenzija svjetiljke približno 146x147x67 mm,                               CRTEŽI POZICIJA A24</t>
  </si>
  <si>
    <t>Vanjska LED svjetiljka za montažu na stup, kućište svjetiljke izrađeno od aluminija, nasadnik izrađen od tlačno lijevanog aluminija, optički sustava načinjen od PC leća, asimetrična optika DX70, ULOR &lt; 1%, ukupni svjetlosni tok izvora svjetlosti min. 6000 lm, snaga sistema svjetiljke max 41W (LED izvor+driver), svjetlosna iskoristivost svjetiljke LOR min. 64%, svjetlotehnička iskoristivost svjetiljke min. 93 lm/W, boja svjetlosti 3000K, uzvrat boje Ra&gt;70, zaštita od zaprljanja IP66, mehanička otpornost IK10, životni vijek ≥ 100 000 radnih sati (uz L90B10), raspon radne temperature ambijenta: -40ºC do +50ºC, električna klasa II, CRTEŽI POZICIJA V1</t>
  </si>
  <si>
    <t>25.1.</t>
  </si>
  <si>
    <t>Stup Auriga P bojan u boju svjetiljke V2 s temeljnom pločom i vijcima M18, visina stupa 4m, promjer vrha stupa 60mm, 1 vjetrosna zona</t>
  </si>
  <si>
    <t>Ugradna svjetiljka za sigurnosnu rasvjetu evakuacijskog puta, autonomija 1h, funkcija auto testa, pripravni spoj, optika za rasvjetu evakuacijskog puta, snaga sistema max. 2W, efektivni svjetlosni tok svjetiljke sa uračunatim gubicima u optičkom sustavu min. 270lm, IP20, CRTEŽI POZICIJA P1</t>
  </si>
  <si>
    <t>Ugradna svjetiljka za sigurnosnu rasvjetu evakuacijskog puta, autonomija 1h, funkcija auto testa, pripravni spoj, optika za površinsku rasvjeta, ukupna snaga sustava max 2W, efektivni svjetlosni tok svjetiljke sa uračunatim gubicima u optičkom sustavu min. 280 lm, IP20, CRTEŽI POZICIJA P2</t>
  </si>
  <si>
    <t>Svjetiljka sigurnosna za rasvjetu evakuacijskog puta, LED izvor svjetlost, autonomija 1h, pripravni spoj, 3W, efektivni svjetlosni tok svjetiljke sa uračunatim gubicima u optičkom sustavu min. 360 lm, IP65, CRTEŽI POZICIJA P3</t>
  </si>
  <si>
    <t>Svjetiljka sigurnosna za rasvjetu evakuacijskog puta, LED izvor svjetlost, autonomija 1h, funkcija auto testa, pripravni spoj, 3W, IP22, efektivni svjetlosni tok svjetiljke sa uračunatim gubicima u optičkom sustavu min. 380 lm, CRTEŽI POZICIJA P4</t>
  </si>
  <si>
    <t>Ugradna svjetiljka za označavanje evakuacijskoga puta, s dvostranim piktogramom, LED izvor svjetlosti, vrijeme autonomije 1h, stalni spoj, funkcija autotesta, IP20, CRTEŽI POZICIJA P5</t>
  </si>
  <si>
    <t>30.1.1.</t>
  </si>
  <si>
    <t>PIKTOGRAM AWEX  STRELICA DOLJE (150X300) PIK09</t>
  </si>
  <si>
    <t>30.1.2.</t>
  </si>
  <si>
    <t>Ugradna svjetiljka za označavanje evakuacijskoga puta, s dvostranim piktogramom, LED izvor svjetlosti, vrijeme autonomije 1h, stalni spoj, funkcija autotesta, IP20, CRTEŽI POZICIJA P6</t>
  </si>
  <si>
    <t>31.1.1.</t>
  </si>
  <si>
    <t>PIKTOGRAM AWEX  STRELICA DESNO (150X300) PIK07</t>
  </si>
  <si>
    <t>31.1.2.</t>
  </si>
  <si>
    <t>PIKTOGRAM AWEX  STRELICA LIJEVO (150X300) PIK08</t>
  </si>
  <si>
    <t>Nadgradna svjetiljka za označavanje evakuacijskoga puta, s jednostranim piktogramom, LED izvor svjetlosti, vrijeme autonomije 1h, stalni spoj, funkcija autotesta, IP22, CRTEŽI POZICIJA P7</t>
  </si>
  <si>
    <t>32.1.1.</t>
  </si>
  <si>
    <t>PIKTOGRAM AWEX  STRELICA DOLJE (100X300) PS27</t>
  </si>
  <si>
    <t>SOS SUSTAV I SUSTAV ODIMLJAVANJA</t>
  </si>
  <si>
    <t xml:space="preserve">Nabavka  isporuka  i  ugradnja  kontrolnog  seta za SOS SUSTAV  sa  centralnom  jedinicom, pozivnim tipkalom, signalnom svjetiljkom s biperom. </t>
  </si>
  <si>
    <t>Kabel  NHXH  FE190/E90  7x1.5mm2</t>
  </si>
  <si>
    <t xml:space="preserve">Kabel  NHXH  FE190/E90  3x1.5mm2 </t>
  </si>
  <si>
    <t xml:space="preserve">Kabel  NHXH  FE190/E90  2x1.5mm2 </t>
  </si>
  <si>
    <t>PP00 3x1,5 mm2</t>
  </si>
  <si>
    <t>CSS 25</t>
  </si>
  <si>
    <t xml:space="preserve">Ispitivanje SUSTAVA ODIMLJAVANJA i izdavanje protokola o ispitivanju </t>
  </si>
  <si>
    <t>REKAPITULACIJA TROŠKOVNIKA</t>
  </si>
  <si>
    <t>Glavni razvodni ormar GRO</t>
  </si>
  <si>
    <t>Razvodni ormar RO-P1+ RO-P2 (PRIZEMLJE)</t>
  </si>
  <si>
    <t>Razvodni ormar RO-S1+ RO-S2 (SUTEREN)</t>
  </si>
  <si>
    <t>IT</t>
  </si>
  <si>
    <t>VATRODOJAVA</t>
  </si>
  <si>
    <t>UZEMLJENJE I GROMOBRANSKA INST.</t>
  </si>
  <si>
    <r>
      <t xml:space="preserve">TROŠKOVNIK
</t>
    </r>
    <r>
      <rPr>
        <b/>
        <sz val="16"/>
        <rFont val="Century Gothic"/>
        <family val="2"/>
      </rPr>
      <t>PROMETNE POVRŠINE</t>
    </r>
  </si>
  <si>
    <t xml:space="preserve">OPĆE NAPOMENE </t>
  </si>
  <si>
    <t>Cijene upisane u ovaj troškovnik sadrže svu odštetu za pojedine radove i dobave u odnosnim stavkama troškovnika i to u potpuno dogotovljenom stanju, tj. sav rad, naknadu za alat, materijal, sve pripremne, sporedne i završne radove, horizontalne i vertikalne transporte.</t>
  </si>
  <si>
    <t xml:space="preserve">Prema tome, ponuđena cijena je konačna cijena za realizaciju pojedine troškovničke stavke i ne može se mijenjati. Dodatni naknadni troškovi po pojedinoj stavci neće biti priznati. </t>
  </si>
  <si>
    <t>Ukoliko opis pojedine stavke dovodi izvođača u nedoumicu o načinu izvedbe ili kalkulacije cijena, treba pravovremeno tražiti objašnjenje od naručitelja i projektanta.</t>
  </si>
  <si>
    <t>Ako tijekom izvođenja radova dođe do promjena, treba prije početka rada tražiti suglasnost nadzornog inženjera, također treba ugovoriti jediničnu cijenu nove stavke na temelju elemenata datih u ponudi i sve to unijeti u građevinski dnevnik uz ovjeru nadzornog inženjera.</t>
  </si>
  <si>
    <t>Nacrti, tehnički opis i troškovnik čine cijelinu projekta. Izvođač je dužan proučiti sve navedene dijelove projekta, te u slučaju nejasnoća tražiti objašnjenje od projektanta, odnosno iznijeti svoje primjedbe. Nepoznavanje crtanog dijela projekta i tehničkog opisa neće se prihvatiti kao razlog za povišenje jediničnih cijena ili greške u izvedbi.</t>
  </si>
  <si>
    <t>Potencijalni Izvođač je dužan pridržavati se važećih zakona i propisa i to naročito:</t>
  </si>
  <si>
    <t>► Zakona o gradnji</t>
  </si>
  <si>
    <t xml:space="preserve">► Zakon o prostornom uređenju </t>
  </si>
  <si>
    <t>► Zakona o zaštiti na radu</t>
  </si>
  <si>
    <t>► Zakona o zaštiti od požara</t>
  </si>
  <si>
    <t>► Zakona o gospodarenju otpadom</t>
  </si>
  <si>
    <t>► Hrvatskih normi</t>
  </si>
  <si>
    <t>► Općih tehničkih uvjeta</t>
  </si>
  <si>
    <t>► Pravilnika o gospodarenju otpadom</t>
  </si>
  <si>
    <t xml:space="preserve">► Pravilnik građevnom otpadu i otpadu koji sadrži azbest </t>
  </si>
  <si>
    <t xml:space="preserve">► Pravilnik o zaštiti na radu na privremenim gradilištima </t>
  </si>
  <si>
    <t>► Uredbi EU</t>
  </si>
  <si>
    <t>Svi radovi moraju se izvesti solidno i stručno prema važećim propisima i pravilima dobrog zanata. Na gradilištu Izvođač radova, u skladu sa Zakonom o gradnji mora imati Glavnog inženjera gradilišta kvalificiranog za dotične vrste poslova i koji će stalno biti prisutan na gradilištu.</t>
  </si>
  <si>
    <t>Količine radova, koje nakon izvršenja čitavog posla nije moguće mjeriti neposrednom izmjerom, treba po izvršenju takvog posla preuzeti i ovjeriti Nadzorni inženjer. Nadzorni inženjer i predstavnik Izvođača radova upisivati će u Građevnu knjigu količine pojedinih takovih radova, sa svim potrebnim skicama i izmjerom, te će svojim potpisima jamčiti njihovu točnost. Samo tako utvrđeni radovi mogu se uzeti u obzir kod izrade privremenog ili konačnog obračuna radova. Izvođač je dužan na gradilištu čuvati građevinsku dozvolu, Glavni projekt i dati ih po potrebi na uvid ovlaštenim inspekcijskim službama. Izvođač je dužan voditi građevinsku knjigu, i ako su radovi ugovoreni po sistemu "ključ u ruke".</t>
  </si>
  <si>
    <t>Izražene cijene odnose se na jediničnu mjeru izvršenog rada. Prema tome, jedinične cijene obuhvaćaju: sav rad, opremu, materijal, prevoz, režiju gradilišta i poduzeća, puteve na gradilištu, sva davanja i dobitak poduzeća. Stavke troškovnika obuhvaćaju u cijelosti dovršene radove, ispitane po količini i kvaliteti, te preuzete po nadzornoj službi.</t>
  </si>
  <si>
    <t xml:space="preserve">Izvođač je dužan prilikom uvođenja u posao, u okviru ugovorene cijene, preuzeti gradilište. Od tog trenutka pa do primopredaje izvršenih radova Izvođač je odgovoran za stvari i osobe koje se nalaze unutar gradilišta. </t>
  </si>
  <si>
    <r>
      <t xml:space="preserve">Sukladno Pravilniku o načinu provedbe stručnog nadzora građenja, uvjetima i načinu vođenja građevinskog dnevnika te o sadržaju završnog izvješća nadzornog inženjera biti će obavezna uporaba </t>
    </r>
    <r>
      <rPr>
        <b/>
        <sz val="10"/>
        <rFont val="Century Gothic"/>
        <family val="2"/>
      </rPr>
      <t>eGrađevinskog dnevnika</t>
    </r>
    <r>
      <rPr>
        <sz val="10"/>
        <rFont val="Century Gothic"/>
        <family val="2"/>
      </rPr>
      <t>.</t>
    </r>
  </si>
  <si>
    <t>Dnevnik pokreće Nadzorni inženjer na temelju podataka iz prijave početka građenja, unosi podatke o svim ostalim sudionicima u građenju (izvođač, ostali stručni nadzori, projektantski nadzor, geodet itd.) i otvara dnevnik, dok sam dnevnik vodi inženjer gradilišta i/ili voditelj radova.</t>
  </si>
  <si>
    <t>Obaveza Izvođača da pri imenovanju inženjera gradilišta vodi računa o mogućnosti prijave istoga putem sustava eDnevnik, odnosno da imenovana osoba posjeduje elektroničku karticu putem koje se prijavljuje na sustav.</t>
  </si>
  <si>
    <t>Izvođač je dužan u okviru ugovorene cijene koordinirati radove svih kooperanata, na način da omogući kontinuirano odvijanje posla i zaštitu već izvedenih radova. Sva oštećenja nastala u tijeku gradnje otklonit će Izvođač o svom trošku. Izvođač je dužan, u okviru ugovorene cijene, osigurati gradilište od djelovanja više sile i krađe.</t>
  </si>
  <si>
    <t>Izvođač je dužan u suradnji s Nadzornim inženjerom i Investitorom izraditi vremenski plan (gantogram) aktivnosti na gradilištu i njime odrediti: dinamiku izvođenja, financiranja, uključivanja pojedinih kooperanata, te konačni rok završetka radova.</t>
  </si>
  <si>
    <t>U slučaju da Izvođač predlaže iz svojih razloga ili iz razloga ekonomičnosti druga projektantska rješenja dužan je izraditi dokumentaciju (tekstualnu i grafičku) i dati je na odobrenje Projektantu, Nadzoru i Investitoru.</t>
  </si>
  <si>
    <t>U cijenu za svaku pojedinu vrstu rada treba uključiti sav glavni i pomoćni materijal, rastur materijala, neminovne otpatke, transport do gradilišta, i na gradilištu, uzimanje mjera na gradilištu, odnosno dogovor o mjerama s drugim izvođačima, troškove rada u radionici i na gradilištu, te uklanjanje nečistoća nastalih tijekom radova.</t>
  </si>
  <si>
    <t>Sav otpadni materijal od čišćenja mora se odvesti s gradilišta na deponiju koja je određena od strane nadležne općine ili grada. Pristojba za korištenje gradske deponije uključena je u cijeni radova.
Obračun količina radova vrši se na način opisan u svakoj poziciji ovog troškovnika, predviđen za taj rad. Sve obaveze i izdatke, te troškove po odredbama ovih uvjeta dužan je Izvođač ukalkulirati u ponuđene jedinične cijene za sve radove na objektu i ne može zahtijevati da se ti radovi posebno naplaćuju.</t>
  </si>
  <si>
    <t>Izvođač je dužan o svom trošku izvesti ili provoditi:</t>
  </si>
  <si>
    <t>► osigurati prometnu signalizaciju prema uvjetima koje će propisati odgovarajuća gradska služba i projekt</t>
  </si>
  <si>
    <t xml:space="preserve">► osigurati zaštitnom čvrstom ogradom susjedne parcele i objekte </t>
  </si>
  <si>
    <t>► čišćenje vozila (kotača) pranjem, pri iskopima i uvijek ako za to postoji potreba, uključivo i čišćenje kolnika i nogostupa</t>
  </si>
  <si>
    <t>► podmirivanje komunalnih troškova (privremene priključke i potrošnju vode, električne energije i sl.).</t>
  </si>
  <si>
    <t>► zbrinjavanje otpada s gradilišta</t>
  </si>
  <si>
    <t>► mjere zaštite na radu</t>
  </si>
  <si>
    <t>► čuvanje gradilišta</t>
  </si>
  <si>
    <r>
      <t xml:space="preserve">Prije početka radova Izvođač je u obvezi izraditi </t>
    </r>
    <r>
      <rPr>
        <u/>
        <sz val="10"/>
        <rFont val="Century Gothic"/>
        <family val="2"/>
      </rPr>
      <t>plato i kanale za pranje vozila</t>
    </r>
    <r>
      <rPr>
        <sz val="10"/>
        <rFont val="Century Gothic"/>
        <family val="2"/>
      </rPr>
      <t xml:space="preserve"> prije izlaska s gradilišta na javne prometnice. Poziciju platoa i kanala Izvođač će odrediti prema svojim zahtjevima i usuglasiti s nadzorom. Bilo kakve novčane kazne Naručitelju, od komunalnih redara i sl., za nepoštivanje propisa Zakona o sigurnosti prometa na cestama iste će biti prefakturirane Izvođaču.</t>
    </r>
  </si>
  <si>
    <t>Izvođač je dužan napraviti uvid u Katastar infrastrukture te poduzeti dužnu pažnju kako bi postojeća javna infrastruktura na česticama ostala u funkciji tijekom i nakon izvođenja radova.</t>
  </si>
  <si>
    <t>Sva postojeća javna infrastruktura unutar zone predmetnih radova mora biti jasno i nedvojbeno označena signalizacijskim trakama i sl. tijekom cijelog vremena izvođenja radova.</t>
  </si>
  <si>
    <t xml:space="preserve">Bilo kakva oštećenja proizašla od strane Izvođača tijekom izvođenja radova na javnoj infrastrukturi, isti snosi troškove popravka od strane poduzeća koja je nadležna za upravljanje istom. </t>
  </si>
  <si>
    <t>Izvođač je dužan mjesečno najkasnije do 1.-og u mjesecu podnositi Naručitelju izvještaj o odvijanju radova u odnosu na plan, zaključno s koncem proteklog mjeseca.</t>
  </si>
  <si>
    <t>Ukoliko tokom radova dođe do odstupanja rokova u odnosu na operativni plan Izvođača, a ta odstupanja dovode u pitanje ispunjenje ugovorenih rokova, Naručitelj će pismeno obavijestiti Izvođača i zatražiti da u primjerenom roku Izvođač uskladi radove s operativnim planom. Ako Izvođač ne udovolji zahtjevu Naručitelja, Naručitelj može dio ugovorenog posla, čiji je rok dovršenja u pitanju, povjeriti drugoj osobi na teret Izvođača, a Izvođač je dužan omogućiti nesmetano izvođenje tih radova.</t>
  </si>
  <si>
    <t>FAKTORI</t>
  </si>
  <si>
    <t>Na jediničnu cijenu radne snage izvođač ima pravo zaračunati faktor prema postojećim privrednim instrumentima na osnovu zakonskih propisa. Povrh toga izvođač ima faktorom obuhvatiti i slijedeće radove koji se neće posebno naplatiti kao naknadni rad i to:</t>
  </si>
  <si>
    <t>► kompletnu režiju gradilišta</t>
  </si>
  <si>
    <t>► najamne troškove za posuđenu mehanizaciju, koju izvođač sam ne posjeduje, a potreban mu je pri izvođenju radova</t>
  </si>
  <si>
    <t>► uređenje gradilišta po završetkku radova, sa otklanjanjem svih otpadaka, šute, ostataka građevinskog materijala inventara, pomoćnih objekata itd.</t>
  </si>
  <si>
    <t>PODIZVOĐAČI</t>
  </si>
  <si>
    <t>Posebna obveza glavnog Izvođača u vezi s ugovorima za radove koje izvode drugi izvođač je da mora koordinirati rad tih izvođača sa svojim radovima. Glavni izvođač je također dužan uskladiti sve svoje radove, s radovima drugih izvođača, te da im omogući nesmetano i brzo izvođenje njihovih radova.</t>
  </si>
  <si>
    <t>Nabavu potrebnog materijala, osiguranje potrebnog broja radnika odgovarajuće stručnosti, kao i osiguranje potrebne mehanizacije svojeg rada Izvođač treba provesti tako da bude u skladu s operativnim planom, te da krivicom podizvođača ne dođe do zakašnjenja s vlastitim radovima ili do ometanja u odvijanju radova drugih izvođača. Izvođač mora sam osigurati svoje dovršene radove od oštećenja do primopredaje.</t>
  </si>
  <si>
    <t>Glavni Izvođač radova dužan je dostaviti potpisane ugovore o izvođenju radova s podizvođačima Nadzoru na znanje. Iste ugovore inženjer gradilišta je u obvezi unesti u sustav eGrađevinskog dnevnika. Prisustvo podizvođača na gradilištu bez potpisanog ugovora neće se tolerirati niti dozvoliti.</t>
  </si>
  <si>
    <t>TRANSPORT I PRIJENOS</t>
  </si>
  <si>
    <t>Prijenos građevinskog materijala obuhvaća ručni prijenos, prijenos kolicima, transporterom, dizalicom, kranom i sl. Prijenos materijala vrši se horizonatalno, po kosini (do 30%) i vertikalno. 
Za svaki radni proces treba unaprijed odrediti vrstu horizontalnog i verikalnog transporta. 
Uz vrstu transporta treba definirati i vrstu utavara/ istovara. 
Izbor transportnih sredstava i način transporta ovisi o vrsti i količini materijala, način utovara i istovara, duljine prijevoza i mjesnih terenskih prilika.</t>
  </si>
  <si>
    <t>DEMONTAŽE I RUŠENJE</t>
  </si>
  <si>
    <t>Radi nastanka prašine prilikom radova rušenja u obvezi izvoditelja je provođenje povremenog polijevanja mjesta rušenja vodom kako bi se spriječilo širenje prašine okolnim terenom.</t>
  </si>
  <si>
    <t>U jediničnoj cijeni svih radova rušenja i demontaža treba biti uključeno: potrebno podupiranje, uklanjanje elemenata ili njihova demontaže, razbijanje i usitnjavanje elemenata kao pripremu za utovar, skele, podupore, razupore, zaštitne ograde, rampe, mostove za prijevoz materijala, te prijenos, utovar u prijevozno sredstvo, te prijevoz na gradsku deponiju do 30 km udaljenosti.</t>
  </si>
  <si>
    <t>Eventualna upotreba skele treba biti ukalkulirana u jedičnoj cijeni pojedine stavke rušenja i demontaža.</t>
  </si>
  <si>
    <t>Kod svih radova izvođač se mora pridržavati svih mjera OZO-a. 
Rušenje objekta smije se izvoditi samo sa radnicima stručno osposobljenim za određeni način rušenja, pod stalnim i neposrednim nadzorom stručne osobe na gradilištu.</t>
  </si>
  <si>
    <t>Prilikom uređenja terena izvođač radova mora se pridržavati svih uvjeta i opisa u projektnoj dokumentaciji kao i važećih propisa i normi.</t>
  </si>
  <si>
    <t>Ovi radovi vezani su za uspostavljanje i osposobljavanje terena za građevinsku djelatnost, a odnose se na rezanje stabala, grana, čišćenje i siječenje šiblja, otkopavanje i vađenje panjeva i skidanje travnatih busena (humusni sloj) i čišćenje gradilišta od svih nečistoća.
Na gradilištu se moraju, kako u pripremi tako i u izgradnji, organizirati i sprovoditi svi radovi tako da se ne ošteti prirodna slika okoline, da se ne oštete razni uređaji ili komunalna infrastruktura (vodovod, kanalizacija, elektrorazvod, plinska infrastruktura i sl.).</t>
  </si>
  <si>
    <t>Čišćenje terena sastoji se u vađenju šiblja, rušenju ograda, postojećih građevina i svih postrojenja koja bi ometala izvršenje radova i građenje.
Čišćenje obuhvaća i uklanjanje svega nepotrebnog materijala zaostalog nakon tih radova. Obaranje drveća vrši se sječenjem drveća i vađenjem korijenja i panjeva. Poslije krčenja sve rupe treba ispuniti zemljom.
Izvođač mora rušiti stabla uz punu primjenu higijensko - tehničkih zaštitnih mjera i bez nanošenja štete susjednim objektima i imovini uopće. Rušenjem stabala ne smiju se oštetiti stabla koja nisu predviđena za rušenje.</t>
  </si>
  <si>
    <t>Uklanjanje grmlja i šiblja (do Ø10 cm) obračunava se po kvadratnom metru očišćene zarasle površine. Uklanjanje drveća i panjeva obračunava se po komadu, uzimajući u obzir debljinu (profil) stabla - mjereno na visini jedan metar od zemlje i to: profil Ø10-30 cm i profil veći od Ø30 cm.</t>
  </si>
  <si>
    <t>UKLANJANJE OTPADAKA</t>
  </si>
  <si>
    <t>Izvođač će tijekom trajanja izvedbe uklanjati sve otpatke, smeće i šutu te će ih otpremiti izvan gradilišta na u tu svrhu odobrenu lokaciju - komunalnu deponiju i održavat će cijeli objekt uključivo okolni tereni i pločnike, te ulice oko gradilišta u urednom i radnom stanju te su svi troškovi uključeni u cijenu.</t>
  </si>
  <si>
    <t>Izvođač je dužan voditi računa i provesti mjere osiguranja tako da se tijekom uklanjanja otpadaka, materijala i opreme ne dovede u opasnost ljudi i imovina. Prilikom svih čišćenja i uklanjanja otpadaka kada god je to moguće Izvođač će koristiti vodu da smanji stvaranje prašine. Nikakvo smeće neće biti spaljivano na gradilištu. Nikakvo smeće ili otpaci neće se bacati u iskope, jame, niti koristiti kod nasipavanja.</t>
  </si>
  <si>
    <t>Vozila koja će se koristiti za odvoz smeća, šute i otpadaka moraju imati platneni krov (ceradu), a materijal koji se prevozi mora biti poprskan vodom kako bi se spriječilo njegovo rasipanje i raznošenje vjetrom tijekom prijevoza do lokaliteta za deponiranje.</t>
  </si>
  <si>
    <t>Suvišno blato i ostala nečistoća s kotača vozila mora se odstraniti, kako bi se spriječilo njihovo raznošenje po prometnicama izvan gradilišta. Svako eventualno blato i ostalo nečistoću koju takva vozila raznesu po prometnicama izvan gradilišta dužan je Izvođač o svom trošku ukloniti i zaprljane površine očistiti.</t>
  </si>
  <si>
    <t>Javna prometnica koja se koristi kao pristupna u svakom trenutku mora biti besprijekorno očišćena od bilo kakvih nečistoća s gradilišta i blata kako bi se zaštitili prolaznici i vozila na gradskoj prometnici. Čišćenja se imaju provesti odmah po prolasku gradilišnih vozila.</t>
  </si>
  <si>
    <t>46.</t>
  </si>
  <si>
    <t>Obračunata količina materijala u normalnom stanju, u svaku jediničnu cijenu uključiti odvoz srušenog materijala na gradilišnu i gradsku deponiju, max udaljenu 30 km,  te razvrstavanje materijala prema uvjetima za istovar materijala gradskog deponija.</t>
  </si>
  <si>
    <t>ZAVRŠETAK RADOVA</t>
  </si>
  <si>
    <t>47.</t>
  </si>
  <si>
    <t>Po završetku radova teren i svi dijelovi objekta moraju biti ostavljeni u čistom i urednom stanju, koje će udovoljiti pregledu i odobrenju Nadzornog inženjera.</t>
  </si>
  <si>
    <t>48.</t>
  </si>
  <si>
    <t>Po završetku radova Izvođač je dužan izraditi zapisnik o primopredaji radova u kojemu će definirati popis i način uklanjanja nedostataka. Zapisnik se predaje Nadzoru na pregled. Istim zapisnikom će se definirati i iznos okončane situacije uz suglasnost Nadzora i Naručitelja radova.</t>
  </si>
  <si>
    <t>49.</t>
  </si>
  <si>
    <t>Sav preostali materijal, oprema i privremeni objekti bit će uklonjeni s gradilišta, a površine na kojima su bili postavljeni dovedene u prijašnje stanje predviđeno projektom ili u stanje koje će odobriti Nadzorni inženjer, a sve bez prava na posebnu naplatu.</t>
  </si>
  <si>
    <t>02-2024-G-PPP - PROMETNE POVRŠINE</t>
  </si>
  <si>
    <t>Red.
br.</t>
  </si>
  <si>
    <t>Jed.
mjere</t>
  </si>
  <si>
    <t>Iznos</t>
  </si>
  <si>
    <t>1.1.</t>
  </si>
  <si>
    <r>
      <rPr>
        <b/>
        <i/>
        <sz val="10"/>
        <rFont val="Century Gothic"/>
        <family val="2"/>
      </rPr>
      <t xml:space="preserve">Iskolčenje karakterističnih točaka građevine u svemu prema detaljima iz projekta. </t>
    </r>
    <r>
      <rPr>
        <b/>
        <sz val="10"/>
        <rFont val="Century Gothic"/>
        <family val="2"/>
      </rPr>
      <t xml:space="preserve">
</t>
    </r>
    <r>
      <rPr>
        <sz val="10"/>
        <rFont val="Century Gothic"/>
        <family val="2"/>
      </rPr>
      <t xml:space="preserve">Stavka obuhvaća iskolčenje građevine, održavanje točaka operativnog poligona i repera te sva geodetska mjerenja kojima se podaci iz projekta prenose na teren i obrnuto, obnavljanje i održavanje iskolčenih oznaka na terenu u cijelom razdoblju od početka radova do predaje svih radova investitoru. Geodetski radovi obuhvaćaju i obnovu stalnih geodetskih točaka u području zahvata uključujući i sve potrebne radove za provedbu obnove sukladno zakonskoj regulativi. Obračun po m2.
</t>
    </r>
  </si>
  <si>
    <t>Obračun po m2 površine.</t>
  </si>
  <si>
    <t>1.2.</t>
  </si>
  <si>
    <r>
      <rPr>
        <b/>
        <i/>
        <sz val="10"/>
        <rFont val="Century Gothic"/>
        <family val="2"/>
      </rPr>
      <t>Uklanjanje drveća i panjeva Ø većeg od 30 cm.</t>
    </r>
    <r>
      <rPr>
        <b/>
        <sz val="10"/>
        <rFont val="Century Gothic"/>
        <family val="2"/>
      </rPr>
      <t xml:space="preserve">
</t>
    </r>
    <r>
      <rPr>
        <sz val="10"/>
        <rFont val="Century Gothic"/>
        <family val="2"/>
      </rPr>
      <t xml:space="preserve">U stavku uključeno uklanjanje niskog raslinja, grmlja, šiblja, deponiranog organskog otpada biljnog porijekla, košnje trave i korova, vađenje korijena, te utovar i odvoz otpadnog materijala na ovlaštenu deponiju uključujući i pristojbe za istu. Stavka uključuje obaranje stabala na licu mjesta, uz kresanje grana i vađenje korijena. Utovar i odvoz otpadnog materijala biljnog porijekla na ovlaštenu deponiju, uključivo i pristojbe za istu. U slučaju nemogućnosti obaranja stabla s razine tla, ista je potrebno rezati metodom odozgo prema dolje uz uporabu svih mjera zaštite na radu. Nastale rupe nakon uklanjanja panjeva/korijena, potrebno zatrpati zemljanim materijalom bez primjese otpada.
</t>
    </r>
  </si>
  <si>
    <t xml:space="preserve">Obračun je po komadu uklonjenog stabla. </t>
  </si>
  <si>
    <t>1.3.</t>
  </si>
  <si>
    <r>
      <rPr>
        <b/>
        <i/>
        <sz val="10"/>
        <rFont val="Century Gothic"/>
        <family val="2"/>
      </rPr>
      <t>Uklanjanje umjetnih objekata u zoni obuhvata predmetnog projekta.</t>
    </r>
    <r>
      <rPr>
        <b/>
        <sz val="10"/>
        <rFont val="Century Gothic"/>
        <family val="2"/>
      </rPr>
      <t xml:space="preserve">
</t>
    </r>
    <r>
      <rPr>
        <sz val="10"/>
        <rFont val="Century Gothic"/>
        <family val="2"/>
      </rPr>
      <t>Stavka obuhvaća rušenje postojećeg zida ograde debljine cca 20 cm, uklanjanje čelične ograde te AB zida na budućem parkiralištu. Radove treba obaviti bez nanošenja štete na ostalim objektima i posjedima uz cestu.
Stavka obuhvaća i pronalaženje deponije, odvoz uklonjenog materijala na deponiju i sve troškove deponiranja.
Obračun radova:</t>
    </r>
  </si>
  <si>
    <t>1.3.1.</t>
  </si>
  <si>
    <t>AB zid od ograde debljine 20 cm, visine 80 cm</t>
  </si>
  <si>
    <t>m'</t>
  </si>
  <si>
    <t>1.3.2.</t>
  </si>
  <si>
    <t>Čelična ograda i nosivi stupovi</t>
  </si>
  <si>
    <t>1.3.3.</t>
  </si>
  <si>
    <t xml:space="preserve">AB zid d/h 15/80 cm </t>
  </si>
  <si>
    <t>1.4.</t>
  </si>
  <si>
    <r>
      <rPr>
        <b/>
        <i/>
        <sz val="10"/>
        <rFont val="Century Gothic"/>
        <family val="2"/>
      </rPr>
      <t>Uklanjanje asfaltiranih površina nogostupa i parkirališta u zoni obuhvata predmetnog projekta.</t>
    </r>
    <r>
      <rPr>
        <b/>
        <sz val="10"/>
        <rFont val="Century Gothic"/>
        <family val="2"/>
      </rPr>
      <t xml:space="preserve">
</t>
    </r>
    <r>
      <rPr>
        <sz val="10"/>
        <rFont val="Century Gothic"/>
        <family val="2"/>
      </rPr>
      <t>Stavka obuhvaća strojni iskop postojećih asfaltiranih površina nogostupa i parkirališta. Debljina sloja asfalta na parkiralištu iznosi 10 cm (sukladno Geotehničkom elaboratu TD 20021, od srpanj 2020.), dok se za nogostup pretpostavlja debljina sloja od 5 cm. 
Radove treba obaviti bez nanošenja štete na ostalim objektima i posjedima uz cestu.
Stavka obuhvaća i pronalaženje deponije, odvoz uklonjenog materijala na deponiju i sve troškove deponiranja. Stvaranu količinu uklonjenog materijala potrebno je upisati u građevinski dnevnik. Izvođač je dužan dokazati popratnim listom otpada da je isti zbrinut na propisani način.
Obračun radova:</t>
    </r>
  </si>
  <si>
    <t>1.4.1.</t>
  </si>
  <si>
    <r>
      <t>Nogostup - d</t>
    </r>
    <r>
      <rPr>
        <b/>
        <sz val="10"/>
        <rFont val="Calibri"/>
        <family val="2"/>
      </rPr>
      <t>≈</t>
    </r>
    <r>
      <rPr>
        <b/>
        <sz val="10"/>
        <rFont val="Century Gothic"/>
        <family val="2"/>
      </rPr>
      <t>5 cm</t>
    </r>
  </si>
  <si>
    <t>1.4.2.</t>
  </si>
  <si>
    <t>Parkiralište - d=10 cm</t>
  </si>
  <si>
    <t>2.1.</t>
  </si>
  <si>
    <r>
      <rPr>
        <b/>
        <i/>
        <sz val="10"/>
        <rFont val="Century Gothic"/>
        <family val="2"/>
      </rPr>
      <t>Strojni široki iskop tla na trasi parkirališta i nogostupa u materijalu kategorije "C".</t>
    </r>
    <r>
      <rPr>
        <b/>
        <sz val="10"/>
        <rFont val="Century Gothic"/>
        <family val="2"/>
      </rPr>
      <t xml:space="preserve">
</t>
    </r>
    <r>
      <rPr>
        <sz val="10"/>
        <rFont val="Century Gothic"/>
        <family val="2"/>
      </rPr>
      <t>Iskop se vrši prema odredbama i kotama iz projekta s utovarom u prijevozno sredstvo. Rad se mjeri u kubičnim metrima stvarno iskopanog materijala, mjereno u sraslom stanju, a u jediničnu cijenu uračunati su svi radovi na iskopu materijala s utovarom u prijevozna sredstva, radovi na uređenju i čišćenju pokosa od labilnih blokova i rastresitog materijala. Planiranje tla na koti iskopa uključeno je u cijenu stavke. Tlo je potrebno očistiti od svog otpadnog materijala krupnije granulacije. U slučaju da se na koti iskopa uoči loš materijal koji nije podoban za nasipavanje tampona, Izvođač je dužan obavijestiti Nadzor. Ispitivanje kakvoće temeljnog tla obračunato je u stavci 6.</t>
    </r>
  </si>
  <si>
    <t>2.1.1.</t>
  </si>
  <si>
    <t>Parkiralište</t>
  </si>
  <si>
    <t>2.1.2.</t>
  </si>
  <si>
    <t>Nogostup</t>
  </si>
  <si>
    <t>2.2.</t>
  </si>
  <si>
    <r>
      <rPr>
        <b/>
        <i/>
        <sz val="10"/>
        <rFont val="Century Gothic"/>
        <family val="2"/>
      </rPr>
      <t>Strojni uski iskop tla kategorije "C" za postavljanje drenažnih cijevi.</t>
    </r>
    <r>
      <rPr>
        <sz val="10"/>
        <rFont val="Century Gothic"/>
        <family val="2"/>
      </rPr>
      <t xml:space="preserve">
Prema nacrtima iz projekta, projektirane širine dna s potrebnim pokosom stranica rova za rad bez razupiranja. Rad se mjeri u kubičnim metrima stvarno iskopanog rova u sraslom tlu, a u cijenu je uključen iskop i svi pomoćni radovi (oplate, crpljenja vode, vertikalni prijenosi, privremeno odlaganje i sl.), poravnanje dna, zatrpavanje rova nakon ugradnje instalacija odnosno drenaže sa nabijanjem slojeva, odlaganje, razastiranje i utovar u prijevozno sredstvo viška materijala s uređenjem i čišćenjem terena.</t>
    </r>
  </si>
  <si>
    <t>Obračun stavke po m3.</t>
  </si>
  <si>
    <t>2.3.</t>
  </si>
  <si>
    <r>
      <rPr>
        <b/>
        <i/>
        <sz val="10"/>
        <rFont val="Century Gothic"/>
        <family val="2"/>
      </rPr>
      <t>Izrada posteljice i obloge za drenažne cijevi od zrnatog kamenog materijala.</t>
    </r>
    <r>
      <rPr>
        <sz val="10"/>
        <rFont val="Century Gothic"/>
        <family val="2"/>
      </rPr>
      <t xml:space="preserve">
Izrada posteljice mora biti prema projektu, osobito s obzirom na visinske kote, postignute nagibe i zbijenost materijala. Potrebno koristiti drobljeni kameni materijal frakcije 8/16 mm, te zatrpavati u slojevima od 30 cm visine, uz lagano nabijanje i polijevanje vodom. 
U cijeni je uključen sav rad, materijal te prijevozi, potrebni za potpuno dovršenje stavke. Potrebna zbijenost posteljice je Sz≥95 %, Ms≥20 MN/m2.</t>
    </r>
  </si>
  <si>
    <t>2.4.</t>
  </si>
  <si>
    <r>
      <rPr>
        <b/>
        <i/>
        <sz val="10"/>
        <rFont val="Century Gothic"/>
        <family val="2"/>
      </rPr>
      <t>Oblaganje drenažne cijevi geotekstilom.</t>
    </r>
    <r>
      <rPr>
        <sz val="10"/>
        <rFont val="Century Gothic"/>
        <family val="2"/>
      </rPr>
      <t xml:space="preserve">
Nabava, prijevoz i ugradnja geotekstila za oblaganje drenažne cijevi, otpornosti na CBR proboj (po HRN EN ISO 12236:2008) ≥ 1.5 kN, minimalne gustoće 180 g/m2.
Obračun je po m2 ugrađenog geotekstila. </t>
    </r>
  </si>
  <si>
    <t>2.5.</t>
  </si>
  <si>
    <r>
      <t xml:space="preserve">Polaganje geotekstila na posteljicu.
</t>
    </r>
    <r>
      <rPr>
        <sz val="10"/>
        <rFont val="Century Gothic"/>
        <family val="2"/>
      </rPr>
      <t>Nabava, prijevoz i polaganje geotekstila s preklapanjem na posteljicu parkirališta. Kvaliteta i klasifikacija geotekstila prema OTU, geotekstil minimalne gustoće 300 g/m2 i otpornosti na CBR proboj (po HRN EN ISO 12236:2008) ≥ 3.0 kN. 
Preklapanje treba izvesti u smjeru nasipavanja materijala. Najmanja veličina preklopa iznosi 50 cm. Geotekstil položiti na površinu posteljice gdje ne zadovoljava traženi modul stišljivosti. Obračun po m2 ugrađenog geotekstila. Rad izvršiti uz pismenu suglasnost nadzornog inženjera.</t>
    </r>
  </si>
  <si>
    <t>ODVODNJA TAMPONSKOG SLOJA</t>
  </si>
  <si>
    <t>3.1.</t>
  </si>
  <si>
    <r>
      <rPr>
        <b/>
        <i/>
        <sz val="10"/>
        <rFont val="Century Gothic"/>
        <family val="2"/>
      </rPr>
      <t>Izrada plitkih drenaža od perforiranih PVC cijevi DN 150.</t>
    </r>
    <r>
      <rPr>
        <sz val="10"/>
        <rFont val="Century Gothic"/>
        <family val="2"/>
      </rPr>
      <t xml:space="preserve">
Izrada plitkih drenaža u već iskopanim rovovima, dna ispod granice smrzavanja i isplaniranog na zadani nagib iz projekta, od perforiranih drenažnih PVC cijevi. Drenažne cijevi se spajaju na najbliže slivnike koji su predmet projekta vodovoda i odvodnje. Rad se obračunava po metru dužnom ugrađene drenažne cijevi.</t>
    </r>
  </si>
  <si>
    <t>PVC - DN 150</t>
  </si>
  <si>
    <t>KOLNIČKA KONSTRUKCIJA I NOGOSTUP</t>
  </si>
  <si>
    <t>4.1.</t>
  </si>
  <si>
    <r>
      <rPr>
        <b/>
        <i/>
        <sz val="10"/>
        <rFont val="Century Gothic"/>
        <family val="2"/>
      </rPr>
      <t>Izrada nosivog sloja - tampon.</t>
    </r>
    <r>
      <rPr>
        <sz val="10"/>
        <rFont val="Century Gothic"/>
        <family val="2"/>
      </rPr>
      <t xml:space="preserve">
Izradi donjeg nosivog sloja može se pristupiti nakon propisano izvedene, ispitane i od nadzornog inženjera preuzete posteljice.
Za izradu ovog sloja mogu se upotrijebiti šljunčani ili drobljeni kameni materijal kao i mješavina istih granulacije 0-63 mm.
Modul stišljivosti na donjem nosivom sloju treba biti - Ms ≥ 80MN/m2.
Stavka obuhvaća sljedeće:
Pribavljanje atesta za materijal prije ugradnje,
Nabava, doprema i istovar materijala,
Ugradnja, zbijanje i planiranje na projektiranu visinu,
Kontrola ravnine i visine sloja,
Ispitivanja kakvoće materijala i izdavanje izvještaja o istome obračunato je u stavci 6. ovog troškovnika.</t>
    </r>
  </si>
  <si>
    <t>4.1.1.</t>
  </si>
  <si>
    <t>Nogostup - d=25 cm</t>
  </si>
  <si>
    <t>4.1.2.</t>
  </si>
  <si>
    <t>Parkiralište - d=35 cm</t>
  </si>
  <si>
    <t>4.2.</t>
  </si>
  <si>
    <r>
      <rPr>
        <b/>
        <i/>
        <sz val="10"/>
        <rFont val="Century Gothic"/>
        <family val="2"/>
      </rPr>
      <t>Izrada izravnavajućeg nosivog sloja AC 16 base 50/70 - d=7,0 cm.</t>
    </r>
    <r>
      <rPr>
        <sz val="10"/>
        <rFont val="Century Gothic"/>
        <family val="2"/>
      </rPr>
      <t xml:space="preserve">
Izradi donjeg nosivog sloja može se pristupiti nakon propisano izvedene, ispitanog i od nadzornog inženjera preuzetog tampona.
Stavka obuhvaća sljedeće:
svi troškovi nabave materijala, proizvodnje i ugradnje asfaltne mješavine, prijevoz, oprema i sve ostalo potrebno za potpuno izvođenje radova uključivo čišćenje i prskanje podloge;
Izvedba i kontrola kakvoće prema (HRN EN 13108-1)  i tehničkim svojstvima i zahtjevima za građevne proizvode za proizvodnju asfaltnih mješavina i za asfaltne slojeve kolnika.
Stavka se obračuna po m2 ugrađene površine.</t>
    </r>
  </si>
  <si>
    <t>Parkiralište - AC 16 base 50/70 - d=7,0 cm</t>
  </si>
  <si>
    <t>4.3.</t>
  </si>
  <si>
    <r>
      <rPr>
        <b/>
        <i/>
        <sz val="10"/>
        <rFont val="Century Gothic"/>
        <family val="2"/>
      </rPr>
      <t>Izrada habajućeg sloja AC 11 surf 50/70 - d=4,0 cm.</t>
    </r>
    <r>
      <rPr>
        <sz val="10"/>
        <rFont val="Century Gothic"/>
        <family val="2"/>
      </rPr>
      <t xml:space="preserve">
Izradi donjeg nosivog sloja može se pristupiti nakon propisano izvedenog, ispitanog i od nadzornog inženjera preuzetog nosivog sloja.
Stavka obuhvaća sljedeće:
svi troškovi nabave materijala, proizvodnje i ugradnje asfaltne mješavine, prijevoz, oprema i sve ostalo potrebno za potpuno izvođenje radova uključivo čišćenje i prskanje podloge;
Izvedba i kontrola kakvoće prema (HRN EN 13108-1)  i tehničkim svojstvima i zahtjevima za građevne proizvode za proizvodnju asfaltnih mješavina i za asfaltne slojeve kolnika.
Obračun je po m2 gornje površine stvarno položenog i ugrađenog habajućeg sloja od asfaltbetona sukladno projektu.</t>
    </r>
  </si>
  <si>
    <t>Parkiralište -  AC 11 surf 50/70 - d=4,0 cm.</t>
  </si>
  <si>
    <t>4.4.</t>
  </si>
  <si>
    <r>
      <rPr>
        <b/>
        <i/>
        <sz val="10"/>
        <rFont val="Century Gothic"/>
        <family val="2"/>
      </rPr>
      <t>Izrada habajućeg sloja AC 11 surf 50/70 - d=5,0 cm.</t>
    </r>
    <r>
      <rPr>
        <sz val="10"/>
        <rFont val="Century Gothic"/>
        <family val="2"/>
      </rPr>
      <t xml:space="preserve">
Izradi donjeg nosivog sloja može se pristupiti nakon propisano izvedenog, ispitanog i od nadzornog inženjera preuzetog nosivog sloja.
Stavka obuhvaća sljedeće:
svi troškovi nabave materijala, proizvodnje i ugradnje asfaltne mješavine, prijevoz, oprema i sve ostalo potrebno za potpuno izvođenje radova uključivo čišćenje i prskanje podloge;
Izvedba i kontrola kakvoće prema (HRN EN 13108-1)  i tehničkim svojstvima i zahtjevima za građevne proizvode za proizvodnju asfaltnih mješavina i za asfaltne slojeve kolnika.
Obračun je po m2 gornje površine stvarno položenog i ugrađenog habajućeg sloja od asfaltbetona sukladno projektu.</t>
    </r>
  </si>
  <si>
    <t>Nogostup -  AC 11 surf 50/70 - d=5,0 cm.</t>
  </si>
  <si>
    <t>4.5.</t>
  </si>
  <si>
    <r>
      <rPr>
        <b/>
        <i/>
        <sz val="10"/>
        <rFont val="Century Gothic"/>
        <family val="2"/>
      </rPr>
      <t>Cestovni betonski rubnjaci izvedeni kao predgotovljeni betonski elementi.</t>
    </r>
    <r>
      <rPr>
        <sz val="10"/>
        <rFont val="Century Gothic"/>
        <family val="2"/>
      </rPr>
      <t xml:space="preserve">
Rubnjaci moraju zadovoljiti sljedeće uvjete:
- moraju biti izvedeni od betona tlačne čvrstoće C25/30,
- rubnjaci moraju imati ravne bridove i plohe bez pukotina i oštećenja,
- ugrađivanje oštećenih komada nije dozvoljeno,
- rubnjaci se ugrađuju po pravcu i niveleti na betonsku podlogu C16/20.
Stavka obuhvaća dobavu betonskih rubnjaka sa svim razvozima po gradilištu do mjesta ugradnje. Priprema podloge s potrebnim iskopom ili nasipavanjem i zbijanjem. Izrada i ugradnja podložnog betona C16/20 s obradom i oplatom. Spojnice se zalijevaju cementnim mortom. Njega betona te ispitivanje kvalitete rubnjaka i podloge s pribavljenim atestima. Stavka se obračunava po m' ugrađenog rubnjaka. </t>
    </r>
  </si>
  <si>
    <t>Cestovni rubnjak 15/25 x 100</t>
  </si>
  <si>
    <t>4.6.</t>
  </si>
  <si>
    <t>Parkovni rubnjak 8/20 x 100</t>
  </si>
  <si>
    <t>OPREMA CESTE</t>
  </si>
  <si>
    <t>Napomene:</t>
  </si>
  <si>
    <t xml:space="preserve">Oprema u nastavku mora biti u skladu s  Pravilnikom o prometnim znakovima, signalizaciji i opremi na cestama (NN92/19) i hrvatskim normama oznake HRN EN 12899-1 i HRN EN 1436:2018. Prometni znakovi postavljaju se na pocinčane stupove. Stavke obuhvaćaju nabavu i postavljanje prometnih znakova uključivo pocinčane stupove i betonske temelje. 
</t>
  </si>
  <si>
    <t xml:space="preserve">Prometni znakovi postavljaju se prema projektu prometnih površina. </t>
  </si>
  <si>
    <t>5.1.</t>
  </si>
  <si>
    <r>
      <rPr>
        <b/>
        <i/>
        <sz val="10"/>
        <rFont val="Century Gothic"/>
        <family val="2"/>
      </rPr>
      <t>Prometni znakovi i obavijesti.</t>
    </r>
    <r>
      <rPr>
        <sz val="10"/>
        <rFont val="Century Gothic"/>
        <family val="2"/>
      </rPr>
      <t xml:space="preserve">
Stavka uključuje dobavu i ugradnju, sve prijevoze, prijenose i skladištenja, sav rad i materijal, te pričvrsni elementi i pribor za ugradnju po uvjetima iz projekta. Obračun je po komadu pričvršćenih znakova. Podloga prometnog znaka izrađuje se od aluminijskog lima s dvostruko povijenim rubom.
Obračun stavke prema komadu kompletno ugrađenog prometnog znaka.</t>
    </r>
  </si>
  <si>
    <t>5.1.1.</t>
  </si>
  <si>
    <t>B01</t>
  </si>
  <si>
    <t>5.1.2.</t>
  </si>
  <si>
    <t>C39 (dopunska ploča - 3 mjesta)</t>
  </si>
  <si>
    <t>5.1.3.</t>
  </si>
  <si>
    <t>C39 (dopunska ploča - 8 mjesta)</t>
  </si>
  <si>
    <t>5.1.4.</t>
  </si>
  <si>
    <t>C02</t>
  </si>
  <si>
    <t>5.2.</t>
  </si>
  <si>
    <r>
      <rPr>
        <b/>
        <i/>
        <sz val="10"/>
        <rFont val="Century Gothic"/>
        <family val="2"/>
      </rPr>
      <t>Horizontalna prometna signalizacija.</t>
    </r>
    <r>
      <rPr>
        <sz val="10"/>
        <rFont val="Century Gothic"/>
        <family val="2"/>
      </rPr>
      <t xml:space="preserve">
U cijenu ulazi sav rad, materijal prijevoz i sve ostalo što je potrebno za potpuni dovršetak posla uključujući potrebna ispitivanja kakvoće materijala i rada.</t>
    </r>
  </si>
  <si>
    <t>5.2.1.</t>
  </si>
  <si>
    <t>H22 (bijele boje)</t>
  </si>
  <si>
    <t>5.2.2.</t>
  </si>
  <si>
    <t>H24 (bijele boje)</t>
  </si>
  <si>
    <t>5.2.3.</t>
  </si>
  <si>
    <t>H28 (bijele boje)</t>
  </si>
  <si>
    <t>5.2.4.</t>
  </si>
  <si>
    <t>H14 (bijele boje, širine 50 cm, dužine 300 cm)</t>
  </si>
  <si>
    <t>5.2.5.</t>
  </si>
  <si>
    <t>H15 (bijele boje, širine 50 cm, dužine 300 cm)</t>
  </si>
  <si>
    <t>5.2.6.</t>
  </si>
  <si>
    <t>H76 (bijele boje, dužine 2 m)</t>
  </si>
  <si>
    <t>5.2.7.</t>
  </si>
  <si>
    <t>H57 (parkiralište za osobe s invaliditetom)</t>
  </si>
  <si>
    <t>5.2.8.</t>
  </si>
  <si>
    <t>H61-1 (mjesta za okomito parkiranje)</t>
  </si>
  <si>
    <t>5.2.9.</t>
  </si>
  <si>
    <t>H03 (podtip A, širina 10 cm)</t>
  </si>
  <si>
    <t>5.2.10.</t>
  </si>
  <si>
    <t>H19 (bijele boje, širina trake 50 cm)</t>
  </si>
  <si>
    <t>5.3.</t>
  </si>
  <si>
    <r>
      <rPr>
        <b/>
        <i/>
        <sz val="10"/>
        <rFont val="Century Gothic"/>
        <family val="2"/>
      </rPr>
      <t>Privremena regulacija prometa.</t>
    </r>
    <r>
      <rPr>
        <sz val="10"/>
        <rFont val="Century Gothic"/>
        <family val="2"/>
      </rPr>
      <t xml:space="preserve">
Stavka obuhvaća: postavljanje novih i izmjenu postojećih prometnih znakova, vraćanje postojećih prometnih znakova  u prvobitno stanje nakon prestanka radova i održavanje svih znakova za vrijeme trajanja privremene regulacije. Ovom stavkom obuhvaćeno je i pribavljanje potrebnih suglasnosti za privremenu regulaciju prometa od nadležnih organizacija kao i izrada eventualno potrebne skice odnosno grafičkog prikaza planirane privremene regulacije.     </t>
    </r>
  </si>
  <si>
    <t>kpl.</t>
  </si>
  <si>
    <t>KONTROLA IZVEDBE</t>
  </si>
  <si>
    <t>Kod materijala osjetljivih na vodu, veliku pažnju treba posvetiti očuvanju temeljnog tla od prekomjernog vlaženja. Tehnologiju i dinamiku rada treba podesiti tako da se, ako vlažnost dopusti, temeljno tlo zbije odmah nakon skidanja humusa. Za vrijeme građenja mora biti osigurana odvodnja temeljnog tla. Prije zbijanja površinu tla treba izravnati.</t>
  </si>
  <si>
    <r>
      <t xml:space="preserve">Ispitivanje stupnja zbijenosti Sz (u odnosu na standardni Proctorov postupak) ili određivanje modula stišljivosti Ms metodom kružne ploče (Ø300mm).
</t>
    </r>
    <r>
      <rPr>
        <sz val="10"/>
        <rFont val="Century Gothic"/>
        <family val="2"/>
      </rPr>
      <t>Ispitivanje se vrši najmanje jedno na svakih 500 m2 uređenog temeljnog tla. Ispitivanjem je potrebno dokazati vrijednosti zbijenosti tla u skladu s kriterijima za ocjenu kakvoće temeljnog tla sukladno OTU (tablica 2-08-1), odnosno  Sz ≥ 95%, Ms ≥ 20MN/m2.
U slučaju da temeljno tlo ne ispunjava gore navedene zahtjeve, potrebno je uz suglasnost nadzornog inženjera pristupiti poduzimanju mjera poboljšanja temeljnog tla.
Stavka uključuje izradu izvještaja o ispitivanju od strane ovlaštene osobe te upisa u građevinski dnevnik.
Obračun stavke prema broju ispitivanja.</t>
    </r>
  </si>
  <si>
    <t>Temeljno tlo (Sz ≥ 95%, Ms ≥ 20MN/m2)</t>
  </si>
  <si>
    <t>6.2.</t>
  </si>
  <si>
    <r>
      <t xml:space="preserve">Ispitivanje stupnja zbijenosti Sz (u odnosu na standardni Proctorov postupak) ili određivanje modula stišljivosti Ms metodom kružne ploče (Ø300mm).
</t>
    </r>
    <r>
      <rPr>
        <sz val="10"/>
        <rFont val="Century Gothic"/>
        <family val="2"/>
      </rPr>
      <t>Ispitivanje se vrši najmanje jedno na svakih 500 m2 tamponskog sloja. Ispitivanjem je potrebno dokazati vrijednosti zbijenosti tampona u skladu s kriterijima za ocjenu kakvoće temeljnog tla sukladno OTU, odnosno  Sz ≥ 100%, Ms ≥ 80 MN/m2.
U slučaju da temeljno tlo ne ispunjava gore navedene zahtjeve, potrebno je uz suglasnost nadzornog inženjera pristupiti poduzimanju mjera poboljšanja tamponskog sloja.
Stavka uključuje izradu izvještaja o ispitivanju od strane ovlaštene osobe te upisa u građevinski dnevnik.
Obračun stavke prema broju ispitivanja.</t>
    </r>
  </si>
  <si>
    <t>Tamponski sloj (Sz ≥ 100%, Ms ≥ 80MN/m2)</t>
  </si>
  <si>
    <t>SVEUKUPNA REKAPITULACIJA:</t>
  </si>
  <si>
    <t>PDV (25%):</t>
  </si>
  <si>
    <t>SVEUKUPNO:</t>
  </si>
  <si>
    <t>Ukoliko je kao količina rada i materijala u stavkama dana napomena „Paušal“, Izvođač je prije davanja ponude obavezan upoznati se s radovima i materijalom date stavke te na temelju svojih zapažanja i svojih proračuna dati svoju ponudu koju kasnije nema pravo mijenjati.</t>
  </si>
  <si>
    <t>PDV 25%</t>
  </si>
  <si>
    <t xml:space="preserve">a) vodomjer DN 32 mm </t>
  </si>
  <si>
    <t>b) vodomjer DN 100 mm</t>
  </si>
  <si>
    <t>c) ventil DN 32 mm</t>
  </si>
  <si>
    <t>d) ventil DN 100 mm</t>
  </si>
  <si>
    <t>e) nepovratni ventil DN  32 mm</t>
  </si>
  <si>
    <t>f) nepovratni ventil DN  100 mm</t>
  </si>
  <si>
    <t>g) ventil DN  32 mm sa ispusnom slavinom</t>
  </si>
  <si>
    <t>h) ventil DN  100 mm sa ispusnom slavinom</t>
  </si>
  <si>
    <t>i) hvatač nečistoća DN 32 mm</t>
  </si>
  <si>
    <t>j) hvatač nečistoća DN 100 mm</t>
  </si>
  <si>
    <t>k) T komad DN 100/50 mm</t>
  </si>
  <si>
    <t>l) FFR komad DN 50/32 mm</t>
  </si>
  <si>
    <t>m) Q komad DN 32 mm 90°</t>
  </si>
  <si>
    <t>n) MDK DN 100 mm</t>
  </si>
  <si>
    <t>o) E-PEHD DN 32 mm</t>
  </si>
  <si>
    <t>p) E-PEHD DN 100 mm</t>
  </si>
  <si>
    <r>
      <t xml:space="preserve">a) nabava i ugradnja PE-HD cijevi </t>
    </r>
    <r>
      <rPr>
        <sz val="9"/>
        <rFont val="Symbol"/>
        <family val="1"/>
        <charset val="2"/>
      </rPr>
      <t>Ć</t>
    </r>
    <r>
      <rPr>
        <sz val="9"/>
        <rFont val="Arial CE"/>
        <family val="2"/>
        <charset val="238"/>
      </rPr>
      <t xml:space="preserve"> 100 mm </t>
    </r>
  </si>
  <si>
    <r>
      <t xml:space="preserve">b) nabava i ugradnja PE-HD cijevi </t>
    </r>
    <r>
      <rPr>
        <sz val="9"/>
        <rFont val="Symbol"/>
        <family val="1"/>
        <charset val="2"/>
      </rPr>
      <t>Ć</t>
    </r>
    <r>
      <rPr>
        <sz val="9"/>
        <rFont val="Arial CE"/>
        <family val="2"/>
        <charset val="238"/>
      </rPr>
      <t xml:space="preserve"> 50 mm </t>
    </r>
  </si>
  <si>
    <r>
      <t xml:space="preserve">c) nabava i ugradnja PE-HD cijevi </t>
    </r>
    <r>
      <rPr>
        <sz val="9"/>
        <rFont val="Symbol"/>
        <family val="1"/>
        <charset val="2"/>
      </rPr>
      <t>Ć</t>
    </r>
    <r>
      <rPr>
        <sz val="9"/>
        <rFont val="Arial CE"/>
        <family val="2"/>
        <charset val="238"/>
      </rPr>
      <t xml:space="preserve"> 32 mm </t>
    </r>
  </si>
  <si>
    <r>
      <t xml:space="preserve">d) nabava i ugradnja PE-HD cijevi </t>
    </r>
    <r>
      <rPr>
        <sz val="9"/>
        <rFont val="Symbol"/>
        <family val="1"/>
        <charset val="2"/>
      </rPr>
      <t>Ć</t>
    </r>
    <r>
      <rPr>
        <sz val="9"/>
        <rFont val="Arial CE"/>
        <family val="2"/>
        <charset val="238"/>
      </rPr>
      <t xml:space="preserve"> 25 mm </t>
    </r>
  </si>
  <si>
    <r>
      <t xml:space="preserve">e) nabava i ugradnja PE-HD cijevi </t>
    </r>
    <r>
      <rPr>
        <sz val="9"/>
        <rFont val="Symbol"/>
        <family val="1"/>
        <charset val="2"/>
      </rPr>
      <t>Ć</t>
    </r>
    <r>
      <rPr>
        <sz val="9"/>
        <rFont val="Arial CE"/>
        <family val="2"/>
        <charset val="238"/>
      </rPr>
      <t xml:space="preserve"> 20 mm </t>
    </r>
  </si>
  <si>
    <r>
      <t xml:space="preserve">a) nabava i ugradnja PP-R cijevi </t>
    </r>
    <r>
      <rPr>
        <sz val="9"/>
        <rFont val="Symbol"/>
        <family val="1"/>
        <charset val="2"/>
      </rPr>
      <t>Ć</t>
    </r>
    <r>
      <rPr>
        <sz val="9"/>
        <rFont val="Arial CE"/>
        <family val="2"/>
        <charset val="238"/>
      </rPr>
      <t xml:space="preserve"> 32 mm </t>
    </r>
  </si>
  <si>
    <r>
      <t xml:space="preserve">b) nabava i ugradnja PP-R cijevi </t>
    </r>
    <r>
      <rPr>
        <sz val="9"/>
        <rFont val="Symbol"/>
        <family val="1"/>
        <charset val="2"/>
      </rPr>
      <t>Ć</t>
    </r>
    <r>
      <rPr>
        <sz val="9"/>
        <rFont val="Arial CE"/>
        <family val="2"/>
        <charset val="238"/>
      </rPr>
      <t xml:space="preserve"> 25 mm </t>
    </r>
  </si>
  <si>
    <r>
      <t xml:space="preserve">c) nabava i ugradnja PP-R cijevi </t>
    </r>
    <r>
      <rPr>
        <sz val="9"/>
        <rFont val="Symbol"/>
        <family val="1"/>
        <charset val="2"/>
      </rPr>
      <t>Ć</t>
    </r>
    <r>
      <rPr>
        <sz val="9"/>
        <rFont val="Arial CE"/>
        <family val="2"/>
        <charset val="238"/>
      </rPr>
      <t xml:space="preserve"> 20 mm </t>
    </r>
  </si>
  <si>
    <t>a) strojno</t>
  </si>
  <si>
    <t>b) ručna obrada dna iskopa</t>
  </si>
  <si>
    <t>a) tucanik</t>
  </si>
  <si>
    <t>b) podložni beton</t>
  </si>
  <si>
    <t>c) beton C30/37 vodonepropusni</t>
  </si>
  <si>
    <t>d) oplata</t>
  </si>
  <si>
    <t>e) armatura B500B</t>
  </si>
  <si>
    <t>f) hidroizolacijski premaz s unutarnje strane okna</t>
  </si>
  <si>
    <t>g) poklopac 800 x 800 mm klase nosivosti C250</t>
  </si>
  <si>
    <t>h) penjalice s leđobranom visine 4,5 m</t>
  </si>
  <si>
    <t>a) PVC  400 mm</t>
  </si>
  <si>
    <t>b) PVC  200 mm</t>
  </si>
  <si>
    <t>c) PVC  160 mm</t>
  </si>
  <si>
    <t>d) PVC  110 mm</t>
  </si>
  <si>
    <t>e) PVC    50 mm</t>
  </si>
  <si>
    <t>a) držač za ručnike u roli</t>
  </si>
  <si>
    <t>b) zidni držač za sapun - tekući</t>
  </si>
  <si>
    <t xml:space="preserve">c) držač za toalet papir </t>
  </si>
  <si>
    <t>d) četka za wc sa posudom</t>
  </si>
  <si>
    <t>FNE 80 kW</t>
  </si>
  <si>
    <t>Stavka podrazumijeva dobavu i ugradnju sljedeće opreme:</t>
  </si>
  <si>
    <t>GRO</t>
  </si>
  <si>
    <t>RO-P1</t>
  </si>
  <si>
    <t>RO-P2</t>
  </si>
  <si>
    <t>RO-S1</t>
  </si>
  <si>
    <t>RO-S2</t>
  </si>
  <si>
    <t>RO-K2</t>
  </si>
  <si>
    <t>RO-K1</t>
  </si>
  <si>
    <t>FNE</t>
  </si>
  <si>
    <t>a) ­ kompaktni prekidač snage tipa A 250A , 3p, 25kA</t>
  </si>
  <si>
    <t>b) ­ katodni odvodnik prenapona 2P , klasa C , 20kA</t>
  </si>
  <si>
    <t>c)  ­ zaštitni uređaj diferencijalne struje 4P,40/0,3A</t>
  </si>
  <si>
    <t>f) - bakrene sabirnice sa nosačima</t>
  </si>
  <si>
    <t>d) - zaštitni prekidač C125A 3p sa svojstvima rastavljača</t>
  </si>
  <si>
    <t>e) - zaštitni prekidač C63A 3p sa svojstvima rastavljača</t>
  </si>
  <si>
    <t>g) - ostali potrebni montažni materijal i pribor</t>
  </si>
  <si>
    <t>h) - dokumentacija izvedenog stanja</t>
  </si>
  <si>
    <t>i) - dokumentacija o provedenom ispitivanju</t>
  </si>
  <si>
    <t>a)  ­ postolje za rastalne cilindrične osigurače 2P/32A. 10x38mm</t>
  </si>
  <si>
    <t>b)  ­ Cilindrični osigurač za fotonapon 10x38, 12A, gPV, 1000V DC</t>
  </si>
  <si>
    <t>c)  ­ PV odvodnik prenapona B + C  12.5kA, 1100 VDC</t>
  </si>
  <si>
    <t>d) ­ ormar opremljen bravicom , sav potreban sitni i montažni materijal</t>
  </si>
  <si>
    <t>a) - NAYY 5x50 mm2 od GR do RO-SE</t>
  </si>
  <si>
    <t>b) - P/F 16 mm2</t>
  </si>
  <si>
    <t>a) - pocinčana FeZn traka 30x4 mm ili pocinčana čelična žica promjera 8 mm</t>
  </si>
  <si>
    <t>b) - nespecificirani sitni instalacijski materijal (vijci, nosači, spojnice, spojnice za oluke i sl.)</t>
  </si>
  <si>
    <t>Dobava, montaža i spajanje vanjske sirene s bljeskalicom, zvučne snage 100dB, IP65, tip kao VTB-01</t>
  </si>
  <si>
    <t>Nadgradna svjetiljka, LED izvor svjetlosti, kućište od polikarbonata, kopče od nehrđajučeg čelika, pokrov od polikarbonata, efektivni svjetosni tok ili svjetlosni tok svjetiljke s uračunatim gubicima u optičkom sustavu min 5880lm, snaga sistema max 42W (LED izvor+driver, ukupna svjetlosna iskoristivost svjetiljke sa uračunatim gubicima u optičkom sustavu min. 140 lm/W, životni vijek LED modula L90B10 ≥50.000 radnih sati uz 90% održavanja inicijalnog svjetlosnog toka, boja svjetlosti 4000K, uzvrata boje Ra&gt;80, zaštita min. IP66, mehanička zaštita svjetiljke min. IK10, rad na maksimalnoj temperaturi okoline +50°C, svjetiljka ima dodatne aluminijske hladnjake za dodatno hlađenje LED modula i drivera, dužina svjetiljke max. 1172 mm, ENEC certifikat, HACCP certifikat,   CRTEŽI POZICIJA A10</t>
  </si>
  <si>
    <t xml:space="preserve"> Spojni komad</t>
  </si>
  <si>
    <t>UKUPNO CIJENA</t>
  </si>
  <si>
    <t>SVEUKUPNO CIJENA</t>
  </si>
  <si>
    <t xml:space="preserve">KROVNA KUPOLA ZA ODIMLJAVANJE
</t>
  </si>
  <si>
    <t>FOTONAPONSKA ELEKTRANA</t>
  </si>
  <si>
    <t>Izrada, dobava i protupožarnih vrata iz plastificiranih aluminijskih profila s prekinutim toplinskim mostom, antracit boje, polusjaj, s hidrauličkim zatvaračem i kočnicom. Ostakljena dvostrukim sigurnosnim staklom. U stavci je uračunat sav potreban okov. RAL ugradnja. Izvedba okvira i dovratnika iz čeličnih cijevi sa izolacijskim oblogama i pokrivnim profilima od tipskih aluminijskih profila, završno obojena (plastifikacija).
Između dovratnika i krila obavezno postaviti ekspandirajuću protupožarnu traku, koja u slučaju požara zajedno sa samogasivom protupožarnom gumenom brtvom osigurava protivdimnu i zvučnu izolaciju vrata.</t>
  </si>
  <si>
    <t>Opći uvjeti izvođenja nadopunjuju se ovim tehničkim uvjetima, a u slučaju neusklađenosti opisa primjenjuje se sve ono propisano ovim tehničkim uvjetima. Izolaterski radovi izvodit će se pridržavajući se i primjenjujući važeće propise i norme.</t>
  </si>
  <si>
    <t>Opći uvjeti izvođenja nadopunjuju se ovim tehničkim uvjetima, a u slučaju neusklađenosti opisa primjenjuje se sve ono propisano ovim tehničkim uvjetima. Stolarski radovi izvodit će se pridržavajući se i primjenjujući važeće propise i norme.</t>
  </si>
  <si>
    <t>Radove na iskopu i konačno utvrđivanje temeljenja (pregled temeljnog tla) vršiti uz stručni nadzor.</t>
  </si>
  <si>
    <t xml:space="preserve">Izvoditelj je dužan dostaviti Investitoru garanciju za kvalitetu izvedenih radova koja se daje na rok koji teče od dana izdavanja uporabne dozvole, odnosno predaje instalacije investitoru na korištenje.
Garancija za građevinske radove iznosi najmanje 10 godina.
Garancija za obrtničke radove iznosi najmanje 2 godine ili više, sukladno ponuđenom u kriteriju za odabir ponude.
Za opremu prema garantnim listovima koje daje proizvođač opreme, minimalno 12 mjeseci od ishođenja uporabne dozvole (predaju se garantni listovi proizvođača opreme). Kapacitet, učinak ili ostale karakteristike opreme moraju ubiti u skladu sa ugovorom (opisom iz projekta).
Izvoditelj će obučiti rukovaoce postrojenjem – instalacijom, na zahtjev Investitora, bez posebne naknade.
Izvoditelj će izraditi upute za korištenje i održavanje instalacije, te ih predati Investitoru bez posebne naknade.
</t>
  </si>
  <si>
    <t xml:space="preserve">Naručitelj preporuča da prije dostave ponude i početka radova, izvoditelj treba provjeriti na radilištu sve uvjete potrebne za rad te pregledati i detaljno proučiti sve podatke koje mu je Investitor stavio na raspolaganje i to o hidrološkim i podzemnim uvjetima, kao i projektnu dokumentaciju prema kojoj će izvoditi radove. Provjeriti sve izmjere vezane na raspoloživu projektnu dokumentaciju. Naročitu pažnju treba posvetiti usaglašenosti građevinskih i instalaterskih nacrta. 
O svim eventualnim primjedbama u odnosu na potpunost i tehničku ispravnost tehničke dokumentacije, dužan je izvoditelj pravovremeno u pisanom obliku izvjestiti Investitora prije početka radova i zatražiti potrebna objašnjenja i rješenja, jer u protivnom, troškovi koji bi uslijed toga nastupili, idu na teret Izvoditelja. Smatra se da je izvoditelj pregledao i ispitao radilište i njegovu okolinu kao i podatke u vezi s njim te da se zadovoljio (u onoj mjeri u kojoj je to provedivo, uzimajući u obzir trošak i vrijeme) prije podnošenja svoje Ponude u pogledu:
</t>
  </si>
  <si>
    <t xml:space="preserve">Specifikacije (tekstualni dio) i grafički prikazi predstavljaju cjelinu i što je makar jednom od njih naznačeno obaveza je za izvoditelja. Sve eventualne nejasnoće i nedefiniranosti izvođač radova treba utvrditi sa projektantom i otkloniti. </t>
  </si>
  <si>
    <t>Sve radove izvođač mora izvoditi prema troškovniku, projektnoj dokumentaciji (prema svim navedenim zakonima, pravilnicima i normama u programima kontrole i osiguranja kvalitete) solidno i stručno, prema pravilima dobrog zanata, a osobito prema:</t>
  </si>
  <si>
    <t>Zakona o prostornom uređenju (NN 67/23), Zakona o gradnji (NN 125/19), Zakona o građevinskoj inspekciji (NN 153/13, 115/18), Zakon o građevnim proizvodima (NN 76/13, 30/14, 130/17, 39/19, 118/20), Zakona o zaštiti na radu (NN 71/14, 118/14, 154/14, 94/18, 96/18), Zakon o zaštiti od buke (NN 30/09, 55/13, 153/13, 41/16, 114/18, 14/21), Zakon o zaštiti od požara (NN 92/10, 114/22),</t>
  </si>
  <si>
    <t>Pravilniku o ocjenjivanju sukladnosti, ispravama o sukladnosti i označavanju građevinskih proizvoda (NN 103/08, 147/09, 87/10, 129/11, 118/19), Tehničkom propis o građevnim proizvodima (NN 35/18, 104/19), Tehničkom propisu za građevinske konstrukcije (NN 17/17, 75/20, 7/22), Tehničkom propisu o racionalnoj upotrebi energije i toplinskoj zaštiti u zgradama (NN 128/15, 70/18, 73/18, 86/18, 102/20) s pripadajućim normama, te svim ostalim hrvatskim i europskim tehničkim propisima i normama i priznatim tehničkim pravilima.</t>
  </si>
  <si>
    <t>kriterij za ocjenu jednakovrijednosti:  [visoki stupanj zvučne zaštite; otporna na udarce; impregnirana]</t>
  </si>
  <si>
    <t xml:space="preserve">kriterij za ocjenu jednakovrijednosti: [visoki stupanj zvučne zaštite, otporna na udarce, impregnirana] </t>
  </si>
  <si>
    <t>kriterij za ocjenu jednakovrijednosti:  [Izduljenje pri slomu ~ 285%; Otpornost na pritisak vode, nema curenja vode pri pritisku vode od 0.06 MPa (6mm WG)]</t>
  </si>
  <si>
    <r>
      <t>Dobava i ugradnja</t>
    </r>
    <r>
      <rPr>
        <b/>
        <sz val="10"/>
        <rFont val="Arial"/>
        <family val="2"/>
      </rPr>
      <t xml:space="preserve"> ekstrudiranog polistirena XPS za toplinsku izolaciju krova</t>
    </r>
    <r>
      <rPr>
        <sz val="10"/>
        <rFont val="Arial"/>
        <family val="2"/>
      </rPr>
      <t>, ravni neprohodni krov na AB konstrukciji, završni pokrov betonskim opločnicima na sloju finog tucanika, na HI sloju od TPO/FPO folije. Izvodi se u dva sloja (ili više) zadanih debljina. XPS (tlačne čvrstoće min. 0,3 N/mm2, λ ≤ 0.036). Donji sloj se izvodi polaganjem na parnu branu (zasebna stavka), gornji sloj ploče u nagibu za postizanje projektiranog pada. Uključivo oblaganje vertikalnih zidova d=5cm i ravnog krova krovnog istaka iznad okna dizala u nagibu, d=10-20cm.
(Alternativno ploče kamene vune u nagibu, hidrofobne, istih ili boljih toplinskih, mehaničkih i ostalih potrebnih svojstava). Uključivo sav potreban rad i materijal za ugradnju prema preporukama proizvođača.)</t>
    </r>
  </si>
  <si>
    <t>kriterij za ocjenu jednakovrijednosti: [tlačna čvrstoća min. 300kPa pri 10% deformaciji; λ &lt;= 0,036 W/mK]</t>
  </si>
  <si>
    <r>
      <t>Sustav izvesti ugradnjom</t>
    </r>
    <r>
      <rPr>
        <b/>
        <sz val="10"/>
        <rFont val="Arial"/>
        <family val="2"/>
        <charset val="238"/>
      </rPr>
      <t xml:space="preserve"> ekstrudiranog polistirena XPS</t>
    </r>
    <r>
      <rPr>
        <sz val="10"/>
        <rFont val="Arial"/>
        <family val="2"/>
        <charset val="238"/>
      </rPr>
      <t xml:space="preserve"> (tlačne čvrstoće min. 0,3 N/mm2, λ ≤ 0.036 zadane debljine. Veličina ploča 60/125 cm s rubnim preklopom, dimenziono stabilan  Početni sloj ploča se postavlja na istak temeljne ploče i na prethodno ugrađen sokl profil, a kasnije redove s pomakom od pola ploče. Izvodi se u zadanim slojevima: </t>
    </r>
  </si>
  <si>
    <t xml:space="preserve">kriterij za ocjenu jednakovrijednosti: Potrebno je ostvariti fizikalni zahtjev za - reflektivna površina Fc-0,8 (platno sa tankim reflektivnim aluminijskim premazom),  faktor otvorenosti 10%, razred gorivosti B1; boja platna siva.
</t>
  </si>
  <si>
    <t>Troslojna otklopna kupola za odimljavanje (potpuno otvaranje) u skladu sa HRN EN 12101-2 - konstrukcija kupole iz alu profila, poklopac od akrilnog stakla, prekinuti toplinski mostovi. Nastavni vijenac punjen PU. Otvaranje: otklopna kupola s automatskim sustavom otvaranja/zatvaranja, motor, standardni okov proizvođača.
Obrada kupole: završno plastificirano + akril / mljiečno bijeli
Ostakljenje: UV i IR stabilizirano lijevano akrilno staklo, termorefleksni premaz
Stavka obuhvaća sav materijal, slijepe okvire, bravarske pripreme, transporte, ispitivanja, dokumentaciju za sustav odimljavanja i rad na ugradnji prozora (RAL ugradnja), te spoj na vatrodojavu, građevinske mjere u ploči 140x140 cm, svijetli otvor &gt;1m2. Vatrootpornost EI-90. Obračun po kompletu, do potpune funkcionalne gotovosti.</t>
  </si>
  <si>
    <t>kriterij za ocjenu jednakovrijednosti: [fleksibilnost na niskim temperaturama -5°C; vlačna čvrstoća uzdužno min. 450N/5cm, poprečno min. 350N/5cm; µ=1.500.000 EN 1931]</t>
  </si>
  <si>
    <t xml:space="preserve">ALUMINIJSKA BRAVARIJA </t>
  </si>
  <si>
    <t xml:space="preserve"> ALUMINIJSKA BRAVARIJA</t>
  </si>
  <si>
    <r>
      <t xml:space="preserve">Izrada, dobava i ugradnja </t>
    </r>
    <r>
      <rPr>
        <b/>
        <sz val="10"/>
        <rFont val="Arial"/>
        <family val="2"/>
      </rPr>
      <t>penjalica</t>
    </r>
    <r>
      <rPr>
        <sz val="10"/>
        <rFont val="Arial"/>
        <family val="2"/>
      </rPr>
      <t xml:space="preserve"> na krov nižeg rekonstruiranog dijela zgrade. 
Penjalice se izvode od čeličnih profila s leđobranom (obojanih ili inox), ukupne visine penjanja 6,64 m, dužina leđobrana cca 5,14 m. U stavku uključen sav potreban materijal za izvedbu i montažu do potpune gotovosti.
U jediničnu cijenu uključen sav osnovni i dodatni materijal -sve potrebno za potpuno dovršenje rada, sav transport: vanjski, u radionici i na gradilištu.</t>
    </r>
  </si>
  <si>
    <t>a) čelična ograda i nosivi stupovi</t>
  </si>
  <si>
    <t>b) AB ukopani zid i temelj spremišta goriva - procjena</t>
  </si>
  <si>
    <t>c) AB ukopana konstrukcija na mjestu kolnog ulaza - procjena</t>
  </si>
  <si>
    <t>d) vanjske stepenice na SI uglu postojeće zgrade</t>
  </si>
  <si>
    <r>
      <rPr>
        <b/>
        <sz val="10"/>
        <rFont val="Arial"/>
        <family val="2"/>
      </rPr>
      <t>Uklanjanje umjetnih objekata</t>
    </r>
    <r>
      <rPr>
        <sz val="10"/>
        <rFont val="Arial"/>
        <family val="2"/>
      </rPr>
      <t xml:space="preserve"> u zoni obuhvata predmetnog projekta.
Stavka obuhvaća uklanjanje postojećeg ukopanog AB niskog zida i temelja oko spremišta goriva, dijela postojeće raslinjem obrasle AB konstrukcije na mjestu kolnog ulaza na manje parkiralište, postojećih vanjskih stepenica na sjeveroistočnom uglu postojeće zgrade, te postojeće čelične ograde na dijelu čestice koji nije obuhvaćen troškovnikom prometnih površina. Radove treba obaviti bez nanošenja štete na ostalim objektima i posjedima uz cestu.
Stavka obuhvaća i pronalaženje deponije, odvoz uklonjenog materijala na deponiju i sve troškove deponiranja.
Ova stavka obuhvaća sve što nije obuhvaćeno stavkom "Troškovnika prometnih površina: Pripremni radovi 1.3." 
</t>
    </r>
  </si>
  <si>
    <t>a) dograđeni dio - tlocrtna površina na čestici</t>
  </si>
  <si>
    <t>b) nadstrešnica - tlocrtna površina na čestici</t>
  </si>
  <si>
    <t>a) unutarnji zidovi i pregrade, d=10 i 25cm</t>
  </si>
  <si>
    <t>b) vanjski zidovi opeka d=30cm, AB stup 25/30</t>
  </si>
  <si>
    <t>c) unutarnja stolarija - vrata</t>
  </si>
  <si>
    <t>d) vanjska stolarija</t>
  </si>
  <si>
    <t xml:space="preserve">a) unutarnji zidovi nosivi, beton C 25/30, d=20cm </t>
  </si>
  <si>
    <t xml:space="preserve">b) unutarnji zidovi nosivi, beton C 25/30, d=25cm </t>
  </si>
  <si>
    <t>c) zidovi propadališta dizala u suterenu, beton C 25/30, d=20 i 50cm</t>
  </si>
  <si>
    <t xml:space="preserve">d) zidovi propadališta stubišta u suterenu, beton C 25/30, d=20cm </t>
  </si>
  <si>
    <t>a) stropne ploče</t>
  </si>
  <si>
    <t>b) podestne i međupodestne ploče</t>
  </si>
  <si>
    <t xml:space="preserve">a) za horizontalnu hidroizolaciju građevine </t>
  </si>
  <si>
    <t>b) za horizontalnu hidroizolaciju ukopanog otvorenog prostora, stubišta i pješačkih rampi</t>
  </si>
  <si>
    <t>c) za vertikalnu hidroizolaciju građevine</t>
  </si>
  <si>
    <t>d) za vertikalnu hidroizolaciju ukupanog otvorenog prostora, stubišta i pješačkih rampi</t>
  </si>
  <si>
    <t>a) za vertikalne zidove građevine</t>
  </si>
  <si>
    <t>b) za vertikalne zidove ukopanih otvorenih prostora</t>
  </si>
  <si>
    <r>
      <rPr>
        <sz val="10"/>
        <rFont val="Arial"/>
        <family val="2"/>
      </rPr>
      <t>a)</t>
    </r>
    <r>
      <rPr>
        <b/>
        <sz val="10"/>
        <rFont val="Arial"/>
        <family val="2"/>
        <charset val="238"/>
      </rPr>
      <t xml:space="preserve"> </t>
    </r>
    <r>
      <rPr>
        <sz val="10"/>
        <rFont val="Arial"/>
        <family val="2"/>
        <charset val="238"/>
      </rPr>
      <t>za</t>
    </r>
    <r>
      <rPr>
        <b/>
        <sz val="10"/>
        <rFont val="Arial"/>
        <family val="2"/>
        <charset val="238"/>
      </rPr>
      <t xml:space="preserve"> </t>
    </r>
    <r>
      <rPr>
        <sz val="10"/>
        <rFont val="Arial"/>
        <family val="2"/>
        <charset val="238"/>
      </rPr>
      <t>XPS deb. 8 cm</t>
    </r>
  </si>
  <si>
    <r>
      <rPr>
        <sz val="10"/>
        <rFont val="Arial"/>
        <family val="2"/>
      </rPr>
      <t>b)</t>
    </r>
    <r>
      <rPr>
        <b/>
        <sz val="10"/>
        <rFont val="Arial"/>
        <family val="2"/>
        <charset val="238"/>
      </rPr>
      <t xml:space="preserve"> </t>
    </r>
    <r>
      <rPr>
        <sz val="10"/>
        <rFont val="Arial"/>
        <family val="2"/>
        <charset val="238"/>
      </rPr>
      <t xml:space="preserve">EPS-T deb, 2cm + PE folija </t>
    </r>
  </si>
  <si>
    <t>a) vratno krilo WC-a vel. 75/205 cm s komplet okovom</t>
  </si>
  <si>
    <t>b) ST1 stijena - dovratnik vel. 273/15+205cm</t>
  </si>
  <si>
    <t>c) ST2 stijena - dovratnik vel. 190/15+205cm</t>
  </si>
  <si>
    <t>d) ST3 stijena - dovratnik vel. 130/15+205cm</t>
  </si>
  <si>
    <t>e) ST4 stijena - dovratnik vel. 150/15+205cm</t>
  </si>
  <si>
    <t>f) ST5 stijena - dovratnik vel. 170/15+205cm</t>
  </si>
  <si>
    <t>g) međustijene - pregrade vel. 90/15+205 cm</t>
  </si>
  <si>
    <t>h) međustijene - pregrade vel. 125/15+205 cm</t>
  </si>
  <si>
    <t>i) pregrade između pisoara 30/120cm</t>
  </si>
  <si>
    <t>j) pregrade između pisoara 50/120cm</t>
  </si>
  <si>
    <t>a) šir. dil. 5 cm, fasadni kutne izvedbe</t>
  </si>
  <si>
    <t>b) šir. dil. 5 cm, krovni kutne izvedbe</t>
  </si>
  <si>
    <t xml:space="preserve">c) šir. dil. 5 cm, unutarnji zidni i stropni </t>
  </si>
  <si>
    <t>d) šir. dil. 5 cm, unutarnji podni</t>
  </si>
  <si>
    <t>a) zid d=10 cm</t>
  </si>
  <si>
    <t>b) zid d=25 cm</t>
  </si>
  <si>
    <t>c) parapet d=30 cm</t>
  </si>
  <si>
    <t>d) krovni vijenac d=30 cm</t>
  </si>
  <si>
    <r>
      <rPr>
        <sz val="10"/>
        <rFont val="Calibri"/>
        <family val="2"/>
        <charset val="238"/>
      </rPr>
      <t>•</t>
    </r>
    <r>
      <rPr>
        <sz val="10"/>
        <rFont val="Arial"/>
        <family val="2"/>
        <charset val="238"/>
      </rPr>
      <t xml:space="preserve"> za sustav s XPS-om, deb. 10cm + žbuka </t>
    </r>
  </si>
  <si>
    <t>a) staklena stijena dim. 112 x 140cm</t>
  </si>
  <si>
    <t>b) šalterska radna ploča debljine 2 cm u otvoru pregradnog zida dim. 112 x 40 cm</t>
  </si>
  <si>
    <t>a) za pod</t>
  </si>
  <si>
    <t>b) sokl vis. 10 cm</t>
  </si>
  <si>
    <t>a) PVC pod</t>
  </si>
  <si>
    <t>b) lajsna</t>
  </si>
  <si>
    <t>a) za zidove</t>
  </si>
  <si>
    <t>b) za grede, stropove i stubišta</t>
  </si>
  <si>
    <t>a) opločenje</t>
  </si>
  <si>
    <t>b) tucanik</t>
  </si>
  <si>
    <t>c) tampon sloj</t>
  </si>
  <si>
    <t>Uključivo temeljni premaz. Izvodi se na estrihu.</t>
  </si>
  <si>
    <t>Radna tvar: R-407C</t>
  </si>
  <si>
    <t>Nabavka  isporuka  i  ugradnja  kontrolnog  seta za odimljavanje  sa  centralnom  jedinicom,  senzorom  za dim  i  5  tipkala  za ukljucenje-aktivaciju
(krovna kupola za odimljavanje je opisana u građevinsko-obrtničkim radovima).</t>
  </si>
  <si>
    <r>
      <rPr>
        <b/>
        <sz val="10"/>
        <rFont val="Arial"/>
        <family val="2"/>
      </rPr>
      <t xml:space="preserve">Uklanjanje dograđenog dijela i čelične nadstrešnice </t>
    </r>
    <r>
      <rPr>
        <sz val="10"/>
        <rFont val="Arial"/>
        <family val="2"/>
      </rPr>
      <t>postojeće zgrade, na sjevernom pročelju.
Stavka obuhvaća kompletno uklanjanje postojećeg oštećenog dijela zgrade s vanjskim stubištem naknadno dograđenog uz sjeverno pročelje postojeće zgrade, visine Su+P, konstrukcija se sastoji od zidova od blok opeke s AB hor. i vert. serklažima, AB stubištem, ugrađenom PVC i čeličnom stolarijom, pokrov od valovitih salonit ploča. Stavka obuhvaća kompletno uklanjanje postojeće čelične nadstrešnice uz sjeverno pročelje postojeće građevine, konstrukcija se sastoji od čeličnih profila i pokrova od valovitih polikarbonatnih ploča.  Radove treba obaviti bez nanošenja štete na ostatku objekta i susjednim posjedima.
Stavka obuhvaća i pronalaženje deponije, odvoz uklonjenog materijala na deponiju i sve troškove deponiranja.</t>
    </r>
  </si>
  <si>
    <r>
      <rPr>
        <b/>
        <sz val="10"/>
        <rFont val="Arial"/>
        <family val="2"/>
      </rPr>
      <t>Uklanjanje dijela postojeće zgrade</t>
    </r>
    <r>
      <rPr>
        <sz val="10"/>
        <rFont val="Arial"/>
        <family val="2"/>
      </rPr>
      <t>.
Stavka obuhvaća uklanjanje unutarnjih zidova i drvenih pregrada i dijela vanjskih zidova, AB stup i greda i sve unutarnje i vanjske stolarije postojeće zgrade, kao i svih obloga i slojeva do osnovne konstrukcije (prema projektu), te uklanjanje postojećih instalacija, kosog krovišta s pokrovom od salonit ploča, reklamnog panoa  i svih ostalih elemenata na zgradi nužnih za izvedbu radova rekonstrukcije zgrade.  Radove treba obaviti bez nanošenja štete na ostatku objekta i susjednim posjedima.
Stavka obuhvaća i pronalaženje deponije, odvoz uklonjenog materijala na deponiju i sve troškove deponiranja.</t>
    </r>
  </si>
  <si>
    <r>
      <t>Količina radne tvari u rashladnom krug</t>
    </r>
    <r>
      <rPr>
        <sz val="12"/>
        <rFont val="Arial"/>
        <family val="2"/>
      </rPr>
      <t>u: max.</t>
    </r>
    <r>
      <rPr>
        <sz val="12"/>
        <rFont val="Arial"/>
        <family val="2"/>
        <charset val="238"/>
      </rPr>
      <t xml:space="preserve"> 26 kg  (CO2 ekvivalent = 47 tona) + 5%</t>
    </r>
  </si>
  <si>
    <t>Dimenzije DxŠxV : max 2273 x 2122 x 1330 [mm] + 10%</t>
  </si>
  <si>
    <t>SCOP 47/55°C = min. 3,16 - 5%</t>
  </si>
  <si>
    <t>Nivo zvučne snage: max. 82,3 dB(A) + 5%</t>
  </si>
  <si>
    <t>Masa stroja u radu : max. 1039 kg + 10%</t>
  </si>
  <si>
    <t>OPT 15LS : Niska razina buke</t>
  </si>
  <si>
    <t>OPT 149B : Modbus/ IP</t>
  </si>
  <si>
    <t>OPT 3A : Zaštita kondenzatora od smrzavanja</t>
  </si>
  <si>
    <t>Uređaj tvornički  testiran i ispitan na projektiranim parametrima, te se ispravan isporučuje u jednom komadu.</t>
  </si>
  <si>
    <t xml:space="preserve">Visokotemperaturna dizalica topline zrak-voda sa zrakom hlađenim kondenzatorom predviđena za vanjsku ugradnju, s visokom učinkovitosti, za grijanje i pripremu PTV-a pri vanjskim temp. od -20°C do 40°C, opremljena s dva hermetička scroll kompresora, flow switchem, aksijalnim ventilatorima, te pločastim izmjenjivačem topline. Elektro ormar u klasi IP 54 ugrađen na uređaju sa svim elementima i ožičenjem potrebnim za siguran i ispavan rad uređaja, mikroprocesorom za kontrolu i vođenje rada uređaja. Mikroprocesor mora osigurati potpuno automatski rad uređaja.    Konstrukcija uređaja izvedena je od pocinčanih čeličnih profila koji su dodatno zaštićeni metodom praškastog premaza. </t>
  </si>
  <si>
    <t>Ogrijevni učinak: 102,0 [kW] - 5% kod temperature vode u kondenzatoru  65/57 [°C] i temperature okoline 7°C</t>
  </si>
  <si>
    <t>OPT 265 : Navojene spojnice</t>
  </si>
  <si>
    <t>a) Cirkulacijska pumpa q=0,7 m3/h, H=2,6 m</t>
  </si>
  <si>
    <t>b) Cirkulacijska pumpa q=4,2 m3/h, H=3,8 m</t>
  </si>
  <si>
    <t>c) Cirkulacijska pumpa q=2,3 m3/h, H=2,2 m</t>
  </si>
  <si>
    <t>d) Cirkulacijska pumpa q=2,6 m3/h, H=2,6 m</t>
  </si>
  <si>
    <t>a) DN 32, NP6</t>
  </si>
  <si>
    <t>b) DN 20, NP6</t>
  </si>
  <si>
    <t>c) DN 40, NP6</t>
  </si>
  <si>
    <t>a) DN 20, NP6</t>
  </si>
  <si>
    <t>b) DN 40, NP6</t>
  </si>
  <si>
    <t>c) DN 32, NP6</t>
  </si>
  <si>
    <t>a) DN 50, NP6</t>
  </si>
  <si>
    <t>d) DN 32, NP6</t>
  </si>
  <si>
    <t>a) DN 20 (26,9 x 2,3)</t>
  </si>
  <si>
    <t>b) DN 32 (42,4 x 2,6)</t>
  </si>
  <si>
    <t>c) DN 40 (48,3 x 2,6)</t>
  </si>
  <si>
    <t>d) DN 50 (60,3 x 2,9)</t>
  </si>
  <si>
    <t>a) DN 20</t>
  </si>
  <si>
    <t>b) DN 32</t>
  </si>
  <si>
    <t>c) DN 40</t>
  </si>
  <si>
    <t>d) DN 50</t>
  </si>
  <si>
    <t>a) 22, 600 x 2000</t>
  </si>
  <si>
    <t>b) 22, 600 x 1800</t>
  </si>
  <si>
    <t>c) 22, 600 x 1600</t>
  </si>
  <si>
    <t>d) 22, 600 x 1400</t>
  </si>
  <si>
    <t>e) 22, 600 x 800</t>
  </si>
  <si>
    <t>f) 22, 600 x 1000</t>
  </si>
  <si>
    <t>g) 22, 600 x 600</t>
  </si>
  <si>
    <t>h) 22, 600 x 400</t>
  </si>
  <si>
    <t>i) 22, 600 x 1200</t>
  </si>
  <si>
    <t>a) 17 x 2,0</t>
  </si>
  <si>
    <t>b) 25 x 3,5</t>
  </si>
  <si>
    <t>c) 20 x 2,8</t>
  </si>
  <si>
    <t>d) 63 x 5,8</t>
  </si>
  <si>
    <t>e) 32 x 4,4</t>
  </si>
  <si>
    <t>f) 50 x 4,6</t>
  </si>
  <si>
    <t>g) 40 x 3,7</t>
  </si>
  <si>
    <t>h) 28 x 4,0</t>
  </si>
  <si>
    <t>a) PE-Xa  cijev 17 x 2,0</t>
  </si>
  <si>
    <t>b) PE-Xa cijev 25 x 3,5</t>
  </si>
  <si>
    <t>c) PE-Xa cijev 20 x 2,8</t>
  </si>
  <si>
    <t>d) PE-Xa cijev 63 x 5,8</t>
  </si>
  <si>
    <t>e) PE-Xa cijev 32 x 4,4</t>
  </si>
  <si>
    <t>f) PE-Xa cijev 50 x 4,6</t>
  </si>
  <si>
    <t>g) PE-Xa cijev 40 x 3,7</t>
  </si>
  <si>
    <t>h) PE-Xa cijev 28 x 4,0</t>
  </si>
  <si>
    <t>a) Rashladni učin 1400 W, toplinski učin 1400 W</t>
  </si>
  <si>
    <t>b) Rashladni učin 1700 W, toplinski učin 1700 W</t>
  </si>
  <si>
    <t>c) Rashladni učin 1600 W, toplinski učin 1600 W</t>
  </si>
  <si>
    <t>d) Rashladni učin 2000 W, toplinski učin 2000 W</t>
  </si>
  <si>
    <t>e) Rashladni učin 1300 W, toplinski učin 1300 W</t>
  </si>
  <si>
    <t>f) Rashladni učin 2200 W, toplinski učin 2200 W</t>
  </si>
  <si>
    <t>g) Rashladni učin 2800 W, toplinski učin 2800 W</t>
  </si>
  <si>
    <t>h) Rashladni učin 3600 W, toplinski učin 3600 W</t>
  </si>
  <si>
    <t>i) Rashladni učin 3800 W, toplinski učin 3800 W</t>
  </si>
  <si>
    <t>j) Rashladni učin 5200 W, toplinski učin 5200 W</t>
  </si>
  <si>
    <t>k) Rashladni učin 900 W, toplinski učin 900 W</t>
  </si>
  <si>
    <t>l) Rashladni učin 1000 W, toplinski učin 1000 W</t>
  </si>
  <si>
    <t>m) Rashladni učin 3200 W, toplinski učin 3200 W</t>
  </si>
  <si>
    <t>n) Rashladni učin 4000 W, toplinski učin 4000 W</t>
  </si>
  <si>
    <t>o) Rashladni učin 1800 W, toplinski učin 1800 W</t>
  </si>
  <si>
    <t>p) Rashladni učin 2300 W, toplinski učin 2300 W</t>
  </si>
  <si>
    <t>r) Rashladni učin 1900 W, toplinski učin 1900 W</t>
  </si>
  <si>
    <t>s) Rashladni učin 3900 W, toplinski učin 3900 W</t>
  </si>
  <si>
    <t>t) Rashladni učin 2100 W, toplinski učin 2100 W</t>
  </si>
  <si>
    <t>u) Rashladni učin 1200 W, toplinski učin 1200 W</t>
  </si>
  <si>
    <t>v) Rashladni učin 1100 W, toplinski učin 1100 W</t>
  </si>
  <si>
    <t xml:space="preserve">a) Ø 6,4                                                </t>
  </si>
  <si>
    <t xml:space="preserve">b) Ø 9,5                                                </t>
  </si>
  <si>
    <t xml:space="preserve">c) Ø 12,7                                                </t>
  </si>
  <si>
    <t xml:space="preserve">d) Ø 15,9                                                </t>
  </si>
  <si>
    <t xml:space="preserve">e) Ø 19,1                                                </t>
  </si>
  <si>
    <t xml:space="preserve">f) Ø 22,2                                                </t>
  </si>
  <si>
    <t xml:space="preserve">a) Ø 28,6                                               </t>
  </si>
  <si>
    <t xml:space="preserve">b) Ø 34,9                                              </t>
  </si>
  <si>
    <t xml:space="preserve">VRF vanjska jedinica za grijanje ili hlađenje
-dvocijevni sustav
-učin hlađenja 83,9 kW - 5%
-učin grijanja 83,9 kW - 5%
- strujno napajanje V/Ph+N/Hz   380-415/3+N/50
-SEER 7,52 - 5%, SCOP 4,75 - 5%,
-mogućnost priključenja 64 unutarnje jedinice
</t>
  </si>
  <si>
    <t xml:space="preserve">a) • za fasade, ploče debljine 14 cm, uključivo žbuku </t>
  </si>
  <si>
    <t>b) • za strop -podgled, ploče debljine 14 cm, uključivo žbuku</t>
  </si>
  <si>
    <t>a) otvor š=80 cm</t>
  </si>
  <si>
    <t>b) otvor š=90 cm</t>
  </si>
  <si>
    <t>c) otvor š=140 cm</t>
  </si>
  <si>
    <t xml:space="preserve">Izrada tampona. Tamponski sloj - ispod podne armirano betonskih ploča pješačkih rampi i vanjskih stubišta. Nabava i doprema, nasipavanje, razastiranje, zbijanje, te planiranje materijala ispod podnih ploča na tlu kao izravnavajući i završni nosivi tampon sloj, debljine 30 cm. Materijal je šljunak ili drobljeni kameni materijal frakcije 0-63.
Ugrađuje se u slojevima debljine maksimalno 15 cm s paralelnim razastiranjem i zbijanjem do potrebne zbijenosti  (Ms = min 40 MPa/m2). Nasipavanje na pripremljenu i isplaniranu površinu iskopa. Zbijanje materijala obavlja se pogodnim vibracijskim sredstvima za zbijanje uz potrebno vlaženje. Način zbijanja treba biti takav da ne izazove oštećenja na konstrukciji objekta. Obračun po m3 zbijenog i atestiranog tampona. </t>
  </si>
  <si>
    <t>Dobava i ugradnja betonskih montažnih rubnjaka 6/20/100 cm. Rubnjaci se postavljaju u betonsku podlogu u količini od 0,06 m3/m'. Rubnjake izvesti kao upuštene. Izvođenje radova prema uputi proizvođača.  Obračun po m' ugrađenih rubnjaka. 
U stavku uračunat sav potreban rad i materijal do gotovosti. U stavku uračunat hor.i i vert. transport.</t>
  </si>
  <si>
    <t>Sva rušenja i demontaže treba vršiti pažljivo, kako ne bi došlo do nepotrebnog oštećivanja građevinskih elemenata koji zadržavaju oblik, položaj i funkciju kao i susjednih objekata u neposrednoj blizini.</t>
  </si>
  <si>
    <t>Sve štete nastale nepažnjom ili radi nepravovremenih preventivnih mjera snosit će Izvođač. Eventualne promjene uslijed utvrđenih razlika između predviđenih i potrebnih radova obavezno dogovarati s Nadzornim inženjerom. 
Prilikom nejasnoća ili nepredviđenih okolnosti obavezno konzultirati Nadzornog inženjera i/ili Projektanta.</t>
  </si>
  <si>
    <t>Preporučuje se izvršiti uvid u projektnu dokumentaciju i postojeće stanje na parceli na kojoj se planiraju predmetni radovi.</t>
  </si>
  <si>
    <t>Preporučuje se prije izrade ponude obići i pregledati građevinu zbog ocjene njezinog građevinskog stanja, radova obuhvaćenih troškovnikom, uvjeta organizacije gradilišta, načina i mogućnosti pristupa građevini, mjesta deponiranja opreme i mehanizacije i sl.</t>
  </si>
  <si>
    <t>Prilikom uvođenja u posao izvođač je obvezan dostaviti detaljni operativni plan izvođenja radova i shemu organizacije gradilišta. Trošak izrade istih snosi Izvođač.</t>
  </si>
  <si>
    <t xml:space="preserve"> Izvođač u operativnom planu treba navesti i točan rok do kada se radovi mogu završiti, i to kako rokovi za pojedine faze tako i rok za potpuno dovršenje, te eventualne posebne zahtjeve na kvalitetu ili dorađenost predradnji. </t>
  </si>
  <si>
    <t xml:space="preserve">Napomena: 
Sve predmetno je obuhvaćeno jediničnom cijenom i ne navodi se kao zasebna stavka, osim gdje je drugačije navedeno.
</t>
  </si>
  <si>
    <t xml:space="preserve">Jedinična cijena
U jediničnim cijenama za sve stavke troškovnika, ponuda mora sadržavati ukupne troškove materijala i rada do potpunog dovršenja cjelokupnog posla odnosno do pune funkcionalnosti.
Jedinična cijena, također, uključuje sva potrebna ispitivanja, kontrole i mjerenja za sve izvedene radove, ugrađene materijale i opremu, u svrhu dokazivanja njihove kvalitete i kompletiranja tehničke dokumentacije potrebne za ishođenje uporabne dozvole, te se prilikom primopredaje građevine, uručuje Investitoru odnosno krajnjem korisniku.
Navedena ispitivanja, kontrole i mjerenja izvode ovlaštene institucije, a odnose se na ispitivanje vodonepropusnosti kanalizacije, ispitivanje funkcionalnosti unutarnje i vanjske hidrantske mreže, uzimanje uzoraka i ispitivanje pitkosti vode, ispitivanje gromobranske instalacije, ispitivanje električne instalacije jake i slabe struje,  te ostala potrebna ispitivanja sukladno važećoj zakonskoj regulativi.
U jediničnu cijenu uključen je i projekt izvedenog stanja pojedine vrste instalacija. </t>
  </si>
  <si>
    <t>RAZNE DOBAVE I UGRADNJE</t>
  </si>
  <si>
    <t xml:space="preserve">                                 ODVODNJA TAMPONSKOG SLOJA, KOLNIČKA KONSTRUKCIJA </t>
  </si>
  <si>
    <t xml:space="preserve">                                 I NOGOSTUP, OPREMA CESTE I KONTROLA IZVEDBE</t>
  </si>
  <si>
    <t xml:space="preserve">                                 od k.č.br. 698/19, dijela k.č.br. 698/18 i dijela</t>
  </si>
  <si>
    <t xml:space="preserve">                                 k.č.br. 697, k.o. Sisak Stari</t>
  </si>
  <si>
    <t xml:space="preserve">                                 Zagrebačka ulica 19, 44000 Sisak</t>
  </si>
  <si>
    <t xml:space="preserve">                                 (dogradnja i prenamjena u poslovnu -</t>
  </si>
  <si>
    <t xml:space="preserve">                                  pretežito uslužnu)</t>
  </si>
  <si>
    <r>
      <rPr>
        <sz val="11"/>
        <rFont val="Century Gothic"/>
        <family val="2"/>
      </rPr>
      <t>GRAĐEVINA</t>
    </r>
    <r>
      <rPr>
        <b/>
        <sz val="11"/>
        <rFont val="Century Gothic"/>
        <family val="2"/>
      </rPr>
      <t>:            REKONSTRUKCIJA POSLOVNO-PRODAJNE ZGRADE</t>
    </r>
  </si>
  <si>
    <r>
      <rPr>
        <sz val="11"/>
        <rFont val="Century Gothic"/>
        <family val="2"/>
      </rPr>
      <t>LOKACIJA</t>
    </r>
    <r>
      <rPr>
        <b/>
        <sz val="11"/>
        <rFont val="Century Gothic"/>
        <family val="2"/>
      </rPr>
      <t>:               Novonastala čestica k.č.br. 698/18 koja nastaje</t>
    </r>
  </si>
  <si>
    <r>
      <rPr>
        <sz val="12"/>
        <rFont val="Century Gothic"/>
        <family val="2"/>
      </rPr>
      <t xml:space="preserve">INVESTITOR:           </t>
    </r>
    <r>
      <rPr>
        <b/>
        <sz val="12"/>
        <rFont val="Century Gothic"/>
        <family val="2"/>
      </rPr>
      <t>AUTO PROMET SISAK d.o.o.</t>
    </r>
  </si>
  <si>
    <r>
      <rPr>
        <sz val="11"/>
        <rFont val="Century Gothic"/>
        <family val="2"/>
      </rPr>
      <t>VRSTA RADOVA:</t>
    </r>
    <r>
      <rPr>
        <b/>
        <sz val="11"/>
        <rFont val="Century Gothic"/>
        <family val="2"/>
      </rPr>
      <t xml:space="preserve">     PRIPREMNI RADOVI, ZEMLJANI RADOVI, </t>
    </r>
  </si>
  <si>
    <r>
      <rPr>
        <sz val="11"/>
        <rFont val="Century Gothic"/>
        <family val="2"/>
      </rPr>
      <t>ZOP</t>
    </r>
    <r>
      <rPr>
        <b/>
        <sz val="11"/>
        <rFont val="Century Gothic"/>
        <family val="2"/>
      </rPr>
      <t>:                         GP-21-2024</t>
    </r>
  </si>
  <si>
    <r>
      <rPr>
        <sz val="11"/>
        <rFont val="Century Gothic"/>
        <family val="2"/>
      </rPr>
      <t>OZNAKA MAPE:</t>
    </r>
    <r>
      <rPr>
        <b/>
        <sz val="11"/>
        <rFont val="Century Gothic"/>
        <family val="2"/>
      </rPr>
      <t xml:space="preserve">       02-2024-G-PPP</t>
    </r>
  </si>
  <si>
    <r>
      <rPr>
        <sz val="11"/>
        <rFont val="Century Gothic"/>
        <family val="2"/>
      </rPr>
      <t>DATUM:</t>
    </r>
    <r>
      <rPr>
        <b/>
        <sz val="11"/>
        <rFont val="Century Gothic"/>
        <family val="2"/>
      </rPr>
      <t xml:space="preserve">                    lipanj 2024. godine </t>
    </r>
  </si>
  <si>
    <t xml:space="preserve">                                   Zagrebačka ulica 19</t>
  </si>
  <si>
    <t xml:space="preserve">                                   OIB: 71445870691</t>
  </si>
  <si>
    <r>
      <rPr>
        <sz val="11"/>
        <rFont val="Century Gothic"/>
        <family val="2"/>
      </rPr>
      <t xml:space="preserve">REVIZIJA:                  </t>
    </r>
    <r>
      <rPr>
        <b/>
        <sz val="11"/>
        <rFont val="Century Gothic"/>
        <family val="2"/>
      </rPr>
      <t xml:space="preserve"> R0</t>
    </r>
  </si>
  <si>
    <t xml:space="preserve">                                   HR - 44 000 Sisak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</si>
</sst>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4" formatCode="_-* #,##0.00\ &quot;kn&quot;_-;\-* #,##0.00\ &quot;kn&quot;_-;_-* &quot;-&quot;??\ &quot;kn&quot;_-;_-@_-"/>
    <numFmt numFmtId="164" formatCode="_-* #,##0.00\ _k_n_-;\-* #,##0.00\ _k_n_-;_-* &quot;-&quot;??\ _k_n_-;_-@_-"/>
    <numFmt numFmtId="165" formatCode="_(* #,##0.00_);_(* \(#,##0.00\);_(* &quot;-&quot;??_);_(@_)"/>
    <numFmt numFmtId="166" formatCode="#,##0.00\ &quot;kn&quot;"/>
    <numFmt numFmtId="167" formatCode="General_)"/>
    <numFmt numFmtId="168" formatCode="_-* #,##0\ _k_n_-;\-* #,##0\ _k_n_-;_-* &quot;-&quot;??\ _k_n_-;_-@_-"/>
    <numFmt numFmtId="169" formatCode="#,##0.00\ _k_n"/>
    <numFmt numFmtId="170" formatCode="#,##0.00\ [$EUR]"/>
    <numFmt numFmtId="171" formatCode="_-* #,##0.00_-;\-* #,##0.00_-;_-* \-??_-;_-@_-"/>
    <numFmt numFmtId="172" formatCode="_(* #,##0.00_);_(* \(#,##0.00\);_(* \-??_);_(@_)"/>
    <numFmt numFmtId="173" formatCode="_-* #,##0.00\ [$€-1]_-;\-* #,##0.00\ [$€-1]_-;_-* &quot;-&quot;??\ [$€-1]_-;_-@_-"/>
    <numFmt numFmtId="174" formatCode="#,##0.00_ ;\-#,##0.00\ "/>
    <numFmt numFmtId="175" formatCode="#,##0.00\ [$€-1]"/>
    <numFmt numFmtId="176" formatCode="0.00000"/>
  </numFmts>
  <fonts count="135">
    <font>
      <sz val="10"/>
      <name val="Arial"/>
      <charset val="238"/>
    </font>
    <font>
      <sz val="11"/>
      <color theme="1"/>
      <name val="Calibri"/>
      <family val="2"/>
      <charset val="238"/>
      <scheme val="minor"/>
    </font>
    <font>
      <sz val="11"/>
      <color indexed="8"/>
      <name val="Calibri"/>
      <family val="2"/>
      <charset val="238"/>
    </font>
    <font>
      <sz val="10"/>
      <name val="Arial"/>
      <family val="2"/>
      <charset val="238"/>
    </font>
    <font>
      <b/>
      <sz val="10"/>
      <name val="Arial"/>
      <family val="2"/>
      <charset val="238"/>
    </font>
    <font>
      <sz val="10"/>
      <name val="Arial"/>
      <family val="2"/>
      <charset val="238"/>
    </font>
    <font>
      <b/>
      <sz val="14"/>
      <name val="Arial"/>
      <family val="2"/>
      <charset val="238"/>
    </font>
    <font>
      <sz val="10"/>
      <name val="Arial"/>
      <family val="2"/>
    </font>
    <font>
      <i/>
      <sz val="10"/>
      <name val="Arial"/>
      <family val="2"/>
      <charset val="238"/>
    </font>
    <font>
      <sz val="10"/>
      <color indexed="10"/>
      <name val="Arial"/>
      <family val="2"/>
      <charset val="238"/>
    </font>
    <font>
      <sz val="10"/>
      <name val="Calibri"/>
      <family val="2"/>
      <charset val="238"/>
    </font>
    <font>
      <b/>
      <sz val="12"/>
      <name val="Arial"/>
      <family val="2"/>
      <charset val="238"/>
    </font>
    <font>
      <sz val="8"/>
      <name val="Arial"/>
      <family val="2"/>
    </font>
    <font>
      <sz val="10"/>
      <name val="Helv"/>
    </font>
    <font>
      <sz val="12"/>
      <name val="Arial"/>
      <family val="2"/>
      <charset val="238"/>
    </font>
    <font>
      <b/>
      <sz val="10"/>
      <name val="Arial"/>
      <family val="2"/>
    </font>
    <font>
      <b/>
      <i/>
      <sz val="8"/>
      <name val="Arial"/>
      <family val="2"/>
      <charset val="238"/>
    </font>
    <font>
      <sz val="10"/>
      <name val="MS Sans Serif"/>
      <family val="2"/>
      <charset val="238"/>
    </font>
    <font>
      <sz val="11"/>
      <name val="Arial"/>
      <family val="1"/>
    </font>
    <font>
      <b/>
      <sz val="11"/>
      <name val="Arial"/>
      <family val="2"/>
      <charset val="238"/>
    </font>
    <font>
      <sz val="10"/>
      <color indexed="8"/>
      <name val="Myriad Pro"/>
      <family val="2"/>
      <charset val="238"/>
    </font>
    <font>
      <sz val="10"/>
      <name val="Helv"/>
      <charset val="238"/>
    </font>
    <font>
      <sz val="10"/>
      <name val="Times New Roman CE"/>
      <family val="1"/>
      <charset val="238"/>
    </font>
    <font>
      <sz val="12"/>
      <name val="Times New Roman CE"/>
      <family val="1"/>
      <charset val="238"/>
    </font>
    <font>
      <sz val="11"/>
      <color indexed="18"/>
      <name val="Arial"/>
      <family val="2"/>
    </font>
    <font>
      <sz val="10"/>
      <name val="Arial"/>
      <family val="2"/>
    </font>
    <font>
      <sz val="11"/>
      <color theme="1"/>
      <name val="Calibri"/>
      <family val="2"/>
      <charset val="238"/>
      <scheme val="minor"/>
    </font>
    <font>
      <sz val="11"/>
      <color theme="1"/>
      <name val="Arial"/>
      <family val="2"/>
      <charset val="238"/>
    </font>
    <font>
      <sz val="10"/>
      <color theme="1"/>
      <name val="Myriad Pro"/>
      <family val="2"/>
      <charset val="238"/>
    </font>
    <font>
      <sz val="10"/>
      <color rgb="FFFF0000"/>
      <name val="Arial"/>
      <family val="2"/>
      <charset val="238"/>
    </font>
    <font>
      <b/>
      <sz val="10"/>
      <color rgb="FFFF0000"/>
      <name val="Arial"/>
      <family val="2"/>
      <charset val="238"/>
    </font>
    <font>
      <i/>
      <sz val="10"/>
      <color rgb="FFFF0000"/>
      <name val="Arial"/>
      <family val="2"/>
      <charset val="238"/>
    </font>
    <font>
      <sz val="10"/>
      <color rgb="FFFF0000"/>
      <name val="Arial"/>
      <family val="2"/>
    </font>
    <font>
      <b/>
      <sz val="14"/>
      <color rgb="FFFF0000"/>
      <name val="Arial"/>
      <family val="2"/>
      <charset val="238"/>
    </font>
    <font>
      <b/>
      <sz val="11"/>
      <color rgb="FFFF0000"/>
      <name val="Arial"/>
      <family val="2"/>
      <charset val="238"/>
    </font>
    <font>
      <sz val="10"/>
      <color rgb="FFFF0000"/>
      <name val="Arial CE"/>
      <family val="2"/>
      <charset val="238"/>
    </font>
    <font>
      <vertAlign val="superscript"/>
      <sz val="10"/>
      <color rgb="FFFF0000"/>
      <name val="Arial"/>
      <family val="2"/>
      <charset val="238"/>
    </font>
    <font>
      <b/>
      <i/>
      <sz val="10"/>
      <name val="Arial"/>
      <family val="2"/>
      <charset val="238"/>
    </font>
    <font>
      <sz val="10"/>
      <name val="Arial CE"/>
      <family val="2"/>
      <charset val="238"/>
    </font>
    <font>
      <b/>
      <sz val="10"/>
      <name val="Arial CE"/>
    </font>
    <font>
      <i/>
      <sz val="10"/>
      <name val="Arial"/>
      <family val="2"/>
    </font>
    <font>
      <i/>
      <sz val="10"/>
      <color rgb="FFFF0000"/>
      <name val="Arial"/>
      <family val="2"/>
    </font>
    <font>
      <sz val="10"/>
      <name val="Arial CE"/>
    </font>
    <font>
      <sz val="11"/>
      <name val="Arial"/>
      <family val="2"/>
    </font>
    <font>
      <sz val="11"/>
      <name val="Arial"/>
      <family val="2"/>
      <charset val="238"/>
    </font>
    <font>
      <sz val="10"/>
      <name val="Swis721 Ex BT"/>
      <family val="2"/>
      <charset val="238"/>
    </font>
    <font>
      <sz val="9"/>
      <name val="Arial"/>
      <family val="2"/>
    </font>
    <font>
      <b/>
      <sz val="10"/>
      <color rgb="FFFF0000"/>
      <name val="Arial"/>
      <family val="2"/>
    </font>
    <font>
      <sz val="10"/>
      <name val="Arial CE"/>
      <charset val="238"/>
    </font>
    <font>
      <sz val="8"/>
      <name val="Arial CE"/>
    </font>
    <font>
      <b/>
      <sz val="28"/>
      <color indexed="54"/>
      <name val="Comic Sans MS"/>
      <family val="4"/>
      <charset val="238"/>
    </font>
    <font>
      <sz val="7"/>
      <name val="Calibri"/>
      <family val="2"/>
      <charset val="238"/>
      <scheme val="minor"/>
    </font>
    <font>
      <sz val="10"/>
      <name val="Calibri"/>
      <family val="2"/>
      <charset val="238"/>
      <scheme val="minor"/>
    </font>
    <font>
      <b/>
      <sz val="10"/>
      <name val="Calibri"/>
      <family val="2"/>
      <charset val="238"/>
      <scheme val="minor"/>
    </font>
    <font>
      <b/>
      <sz val="28"/>
      <name val="Comic Sans MS"/>
      <family val="4"/>
      <charset val="238"/>
    </font>
    <font>
      <sz val="7"/>
      <name val="Arial CE"/>
      <family val="2"/>
      <charset val="238"/>
    </font>
    <font>
      <sz val="5"/>
      <name val="Eurostile"/>
      <family val="2"/>
    </font>
    <font>
      <sz val="6"/>
      <name val="Arial CE"/>
      <charset val="238"/>
    </font>
    <font>
      <sz val="5"/>
      <name val="Arial CE"/>
      <family val="2"/>
      <charset val="238"/>
    </font>
    <font>
      <b/>
      <sz val="7"/>
      <name val="Arial CE"/>
      <family val="2"/>
      <charset val="238"/>
    </font>
    <font>
      <b/>
      <sz val="7.5"/>
      <name val="Arial CE"/>
      <family val="2"/>
      <charset val="238"/>
    </font>
    <font>
      <b/>
      <sz val="8"/>
      <name val="Arial CE"/>
      <family val="2"/>
      <charset val="238"/>
    </font>
    <font>
      <b/>
      <sz val="9"/>
      <name val="Arial CE"/>
      <family val="2"/>
      <charset val="238"/>
    </font>
    <font>
      <b/>
      <sz val="11"/>
      <name val="Arial CE"/>
      <charset val="238"/>
    </font>
    <font>
      <b/>
      <sz val="11"/>
      <name val="Arial CE"/>
      <family val="2"/>
      <charset val="238"/>
    </font>
    <font>
      <b/>
      <sz val="9"/>
      <name val="Arial CE"/>
      <charset val="238"/>
    </font>
    <font>
      <sz val="9"/>
      <name val="Arial CE"/>
      <family val="2"/>
      <charset val="238"/>
    </font>
    <font>
      <vertAlign val="superscript"/>
      <sz val="9"/>
      <name val="Arial CE"/>
      <family val="2"/>
      <charset val="238"/>
    </font>
    <font>
      <sz val="9"/>
      <name val="Arial"/>
      <family val="2"/>
      <charset val="238"/>
    </font>
    <font>
      <sz val="9"/>
      <name val="Symbol"/>
      <family val="1"/>
      <charset val="2"/>
    </font>
    <font>
      <sz val="9"/>
      <name val="Arial CE"/>
    </font>
    <font>
      <b/>
      <sz val="9"/>
      <name val="Arial CE"/>
    </font>
    <font>
      <b/>
      <sz val="16"/>
      <name val="Arial CE"/>
      <family val="2"/>
      <charset val="238"/>
    </font>
    <font>
      <b/>
      <sz val="10"/>
      <name val="Arial CE"/>
      <family val="2"/>
      <charset val="238"/>
    </font>
    <font>
      <sz val="9"/>
      <color indexed="10"/>
      <name val="Arial CE"/>
      <family val="2"/>
      <charset val="238"/>
    </font>
    <font>
      <i/>
      <sz val="8.5"/>
      <name val="Arial CE"/>
      <family val="2"/>
      <charset val="238"/>
    </font>
    <font>
      <i/>
      <sz val="8.5"/>
      <name val="Arial"/>
      <family val="2"/>
      <charset val="238"/>
    </font>
    <font>
      <i/>
      <sz val="8.5"/>
      <name val="Arial CE"/>
      <charset val="238"/>
    </font>
    <font>
      <sz val="8.5"/>
      <name val="Arial CE"/>
      <family val="2"/>
      <charset val="238"/>
    </font>
    <font>
      <sz val="8.5"/>
      <name val="Symbol"/>
      <family val="1"/>
      <charset val="2"/>
    </font>
    <font>
      <sz val="9"/>
      <name val="Arial CE"/>
      <charset val="238"/>
    </font>
    <font>
      <b/>
      <sz val="12"/>
      <name val="Arial CE"/>
      <charset val="238"/>
    </font>
    <font>
      <b/>
      <sz val="12"/>
      <color theme="1"/>
      <name val="Arial"/>
      <family val="2"/>
      <charset val="238"/>
    </font>
    <font>
      <sz val="12"/>
      <color theme="1"/>
      <name val="Arial"/>
      <family val="2"/>
      <charset val="238"/>
    </font>
    <font>
      <u/>
      <sz val="12"/>
      <name val="Arial"/>
      <family val="2"/>
      <charset val="238"/>
    </font>
    <font>
      <sz val="12"/>
      <name val="Arial CE"/>
      <family val="2"/>
      <charset val="238"/>
    </font>
    <font>
      <sz val="12"/>
      <color indexed="8"/>
      <name val="Arial"/>
      <family val="2"/>
      <charset val="238"/>
    </font>
    <font>
      <sz val="14"/>
      <color theme="1"/>
      <name val="Arial"/>
      <family val="2"/>
      <charset val="238"/>
    </font>
    <font>
      <sz val="12"/>
      <color theme="1"/>
      <name val="Arial"/>
      <family val="1"/>
      <charset val="238"/>
    </font>
    <font>
      <b/>
      <sz val="14"/>
      <color theme="1"/>
      <name val="Arial"/>
      <family val="2"/>
      <charset val="238"/>
    </font>
    <font>
      <u/>
      <sz val="11"/>
      <color theme="10"/>
      <name val="Calibri"/>
      <family val="2"/>
      <charset val="238"/>
      <scheme val="minor"/>
    </font>
    <font>
      <b/>
      <sz val="9"/>
      <name val="Arial Narrow"/>
      <family val="2"/>
    </font>
    <font>
      <b/>
      <sz val="9"/>
      <color theme="1"/>
      <name val="Arial Narrow"/>
      <family val="2"/>
    </font>
    <font>
      <b/>
      <sz val="8"/>
      <color theme="1"/>
      <name val="Arial"/>
      <family val="2"/>
      <charset val="238"/>
    </font>
    <font>
      <b/>
      <sz val="8"/>
      <color theme="1"/>
      <name val="Arial"/>
      <family val="2"/>
    </font>
    <font>
      <sz val="8"/>
      <color theme="1"/>
      <name val="Arial"/>
      <family val="2"/>
      <charset val="238"/>
    </font>
    <font>
      <sz val="8"/>
      <color theme="1"/>
      <name val="Arial"/>
      <family val="2"/>
    </font>
    <font>
      <vertAlign val="superscript"/>
      <sz val="8"/>
      <name val="Arial"/>
      <family val="2"/>
    </font>
    <font>
      <b/>
      <sz val="8"/>
      <name val="Arial"/>
      <family val="2"/>
    </font>
    <font>
      <sz val="8"/>
      <name val="Arial"/>
      <family val="2"/>
      <charset val="238"/>
    </font>
    <font>
      <b/>
      <sz val="8"/>
      <name val="Arial"/>
      <family val="2"/>
      <charset val="238"/>
    </font>
    <font>
      <b/>
      <sz val="10"/>
      <color theme="1"/>
      <name val="Arial"/>
      <family val="2"/>
    </font>
    <font>
      <sz val="11"/>
      <name val="Century Gothic"/>
      <family val="2"/>
    </font>
    <font>
      <b/>
      <sz val="12"/>
      <name val="Century Gothic"/>
      <family val="2"/>
    </font>
    <font>
      <b/>
      <sz val="11"/>
      <name val="Century Gothic"/>
      <family val="2"/>
    </font>
    <font>
      <b/>
      <sz val="20"/>
      <name val="Century Gothic"/>
      <family val="2"/>
    </font>
    <font>
      <b/>
      <sz val="16"/>
      <name val="Century Gothic"/>
      <family val="2"/>
    </font>
    <font>
      <sz val="10"/>
      <name val="Century Gothic"/>
      <family val="2"/>
    </font>
    <font>
      <b/>
      <sz val="10"/>
      <name val="Century Gothic"/>
      <family val="2"/>
    </font>
    <font>
      <sz val="10"/>
      <color indexed="8"/>
      <name val="Century Gothic"/>
      <family val="2"/>
    </font>
    <font>
      <u/>
      <sz val="10"/>
      <name val="Century Gothic"/>
      <family val="2"/>
    </font>
    <font>
      <sz val="11"/>
      <name val="Calibri"/>
      <family val="2"/>
      <charset val="238"/>
      <scheme val="minor"/>
    </font>
    <font>
      <b/>
      <i/>
      <sz val="10"/>
      <name val="Century Gothic"/>
      <family val="2"/>
    </font>
    <font>
      <sz val="9"/>
      <name val="Calibri"/>
      <family val="2"/>
      <charset val="238"/>
      <scheme val="minor"/>
    </font>
    <font>
      <b/>
      <sz val="10"/>
      <color rgb="FF000000"/>
      <name val="Century Gothic"/>
      <family val="2"/>
    </font>
    <font>
      <b/>
      <sz val="10"/>
      <color theme="1"/>
      <name val="Century Gothic"/>
      <family val="2"/>
    </font>
    <font>
      <i/>
      <sz val="9"/>
      <name val="Century Gothic"/>
      <family val="2"/>
    </font>
    <font>
      <b/>
      <sz val="10"/>
      <name val="Calibri"/>
      <family val="2"/>
    </font>
    <font>
      <b/>
      <sz val="10"/>
      <color theme="5" tint="-0.499984740745262"/>
      <name val="Century Gothic"/>
      <family val="2"/>
    </font>
    <font>
      <sz val="10"/>
      <color theme="5" tint="-0.499984740745262"/>
      <name val="Century Gothic"/>
      <family val="2"/>
    </font>
    <font>
      <b/>
      <sz val="10"/>
      <color rgb="FFFF0000"/>
      <name val="Calibri"/>
      <family val="2"/>
      <charset val="238"/>
    </font>
    <font>
      <b/>
      <sz val="10"/>
      <name val="Calibri"/>
      <family val="2"/>
      <charset val="238"/>
    </font>
    <font>
      <i/>
      <sz val="10"/>
      <name val="Century Gothic"/>
      <family val="2"/>
    </font>
    <font>
      <sz val="8"/>
      <name val="Calibri"/>
      <family val="2"/>
      <charset val="238"/>
    </font>
    <font>
      <b/>
      <sz val="11"/>
      <color rgb="FFFF0000"/>
      <name val="Century Gothic"/>
      <family val="2"/>
    </font>
    <font>
      <i/>
      <sz val="11"/>
      <name val="Century Gothic"/>
      <family val="2"/>
    </font>
    <font>
      <b/>
      <i/>
      <sz val="11"/>
      <name val="Century Gothic"/>
      <family val="2"/>
    </font>
    <font>
      <b/>
      <sz val="12"/>
      <color theme="5" tint="-0.499984740745262"/>
      <name val="Century Gothic"/>
      <family val="2"/>
    </font>
    <font>
      <b/>
      <sz val="12"/>
      <color theme="1"/>
      <name val="Arial"/>
      <family val="2"/>
    </font>
    <font>
      <b/>
      <sz val="11"/>
      <color theme="1"/>
      <name val="Arial"/>
      <family val="2"/>
    </font>
    <font>
      <sz val="8"/>
      <color theme="1"/>
      <name val="Calibri"/>
      <family val="2"/>
      <charset val="238"/>
      <scheme val="minor"/>
    </font>
    <font>
      <sz val="10"/>
      <color rgb="FF00B050"/>
      <name val="Arial"/>
      <family val="2"/>
    </font>
    <font>
      <sz val="12"/>
      <name val="Arial"/>
      <family val="2"/>
    </font>
    <font>
      <b/>
      <sz val="12"/>
      <name val="Arial"/>
      <family val="2"/>
    </font>
    <font>
      <sz val="12"/>
      <name val="Century Gothic"/>
      <family val="2"/>
    </font>
  </fonts>
  <fills count="14">
    <fill>
      <patternFill patternType="none"/>
    </fill>
    <fill>
      <patternFill patternType="gray125"/>
    </fill>
    <fill>
      <patternFill patternType="solid">
        <fgColor indexed="45"/>
        <bgColor indexed="64"/>
      </patternFill>
    </fill>
    <fill>
      <patternFill patternType="solid">
        <fgColor indexed="43"/>
        <bgColor indexed="64"/>
      </patternFill>
    </fill>
    <fill>
      <patternFill patternType="solid">
        <fgColor indexed="44"/>
        <bgColor indexed="64"/>
      </patternFill>
    </fill>
    <fill>
      <patternFill patternType="solid">
        <fgColor theme="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indexed="22"/>
        <bgColor indexed="64"/>
      </patternFill>
    </fill>
    <fill>
      <patternFill patternType="solid">
        <fgColor indexed="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56">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
      <left style="thin">
        <color theme="0" tint="-0.249977111117893"/>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double">
        <color indexed="64"/>
      </right>
      <top style="double">
        <color indexed="64"/>
      </top>
      <bottom/>
      <diagonal/>
    </border>
    <border>
      <left style="double">
        <color indexed="64"/>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style="thin">
        <color indexed="64"/>
      </right>
      <top style="thin">
        <color indexed="64"/>
      </top>
      <bottom/>
      <diagonal/>
    </border>
    <border>
      <left style="dotted">
        <color auto="1"/>
      </left>
      <right style="dotted">
        <color auto="1"/>
      </right>
      <top style="dotted">
        <color auto="1"/>
      </top>
      <bottom style="dotted">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top style="dotted">
        <color indexed="64"/>
      </top>
      <bottom style="dotted">
        <color indexed="64"/>
      </bottom>
      <diagonal/>
    </border>
    <border>
      <left style="dotted">
        <color auto="1"/>
      </left>
      <right style="dotted">
        <color auto="1"/>
      </right>
      <top style="dotted">
        <color auto="1"/>
      </top>
      <bottom/>
      <diagonal/>
    </border>
  </borders>
  <cellStyleXfs count="79">
    <xf numFmtId="0" fontId="0" fillId="0" borderId="0"/>
    <xf numFmtId="0" fontId="2" fillId="0" borderId="0">
      <alignment horizontal="left" vertical="top" wrapText="1"/>
    </xf>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25" fillId="0" borderId="0" applyFont="0" applyFill="0" applyBorder="0" applyAlignment="0" applyProtection="0"/>
    <xf numFmtId="44" fontId="26" fillId="0" borderId="0" applyFont="0" applyFill="0" applyBorder="0" applyAlignment="0" applyProtection="0"/>
    <xf numFmtId="0" fontId="14" fillId="0" borderId="0"/>
    <xf numFmtId="0" fontId="22" fillId="0" borderId="0">
      <alignment horizontal="left"/>
    </xf>
    <xf numFmtId="4" fontId="23" fillId="0" borderId="0">
      <alignment horizontal="right"/>
    </xf>
    <xf numFmtId="0" fontId="3" fillId="0" borderId="0"/>
    <xf numFmtId="0" fontId="3" fillId="0" borderId="0"/>
    <xf numFmtId="0" fontId="3" fillId="0" borderId="0"/>
    <xf numFmtId="0" fontId="27" fillId="0" borderId="0"/>
    <xf numFmtId="0" fontId="2" fillId="0" borderId="0"/>
    <xf numFmtId="0" fontId="5" fillId="0" borderId="0"/>
    <xf numFmtId="0" fontId="3" fillId="0" borderId="0"/>
    <xf numFmtId="0" fontId="14" fillId="0" borderId="0"/>
    <xf numFmtId="0" fontId="3" fillId="0" borderId="0"/>
    <xf numFmtId="0" fontId="3" fillId="0" borderId="0"/>
    <xf numFmtId="0" fontId="17" fillId="0" borderId="0"/>
    <xf numFmtId="0" fontId="20" fillId="0" borderId="0"/>
    <xf numFmtId="0" fontId="28" fillId="0" borderId="0"/>
    <xf numFmtId="0" fontId="3" fillId="0" borderId="0"/>
    <xf numFmtId="0" fontId="3" fillId="0" borderId="0"/>
    <xf numFmtId="0" fontId="3" fillId="0" borderId="0"/>
    <xf numFmtId="0" fontId="26" fillId="0" borderId="0"/>
    <xf numFmtId="0" fontId="7" fillId="0" borderId="0"/>
    <xf numFmtId="0" fontId="3" fillId="0" borderId="0"/>
    <xf numFmtId="0" fontId="26" fillId="0" borderId="0"/>
    <xf numFmtId="0" fontId="2" fillId="0" borderId="0"/>
    <xf numFmtId="0" fontId="7" fillId="0" borderId="0"/>
    <xf numFmtId="0" fontId="3" fillId="0" borderId="0"/>
    <xf numFmtId="0" fontId="3" fillId="0" borderId="0"/>
    <xf numFmtId="167" fontId="14" fillId="0" borderId="0">
      <alignment horizontal="justify" vertical="top" wrapText="1"/>
    </xf>
    <xf numFmtId="167" fontId="14" fillId="0" borderId="0">
      <alignment horizontal="justify" vertical="top" wrapText="1"/>
    </xf>
    <xf numFmtId="167" fontId="14" fillId="0" borderId="0">
      <alignment horizontal="justify" vertical="top" wrapText="1"/>
    </xf>
    <xf numFmtId="0" fontId="14" fillId="0" borderId="0"/>
    <xf numFmtId="0" fontId="3" fillId="0" borderId="0"/>
    <xf numFmtId="4" fontId="24" fillId="0" borderId="0">
      <alignment horizontal="justify" vertical="justify"/>
    </xf>
    <xf numFmtId="0" fontId="3" fillId="2" borderId="0"/>
    <xf numFmtId="0" fontId="26" fillId="0" borderId="0"/>
    <xf numFmtId="0" fontId="3" fillId="2" borderId="0"/>
    <xf numFmtId="0" fontId="18" fillId="0" borderId="0"/>
    <xf numFmtId="0" fontId="3" fillId="2" borderId="0"/>
    <xf numFmtId="0" fontId="3" fillId="2" borderId="0"/>
    <xf numFmtId="4" fontId="3" fillId="0" borderId="0">
      <alignment horizontal="justify" vertical="justify"/>
    </xf>
    <xf numFmtId="0" fontId="3" fillId="0" borderId="0"/>
    <xf numFmtId="0" fontId="3" fillId="0" borderId="0"/>
    <xf numFmtId="0" fontId="7" fillId="0" borderId="0"/>
    <xf numFmtId="0" fontId="3" fillId="0" borderId="0"/>
    <xf numFmtId="0" fontId="3" fillId="0" borderId="0"/>
    <xf numFmtId="9" fontId="3" fillId="0" borderId="0" applyFont="0" applyFill="0" applyBorder="0" applyAlignment="0" applyProtection="0"/>
    <xf numFmtId="0" fontId="3" fillId="3" borderId="0" applyNumberFormat="0" applyFont="0" applyBorder="0" applyAlignment="0" applyProtection="0"/>
    <xf numFmtId="0" fontId="3" fillId="4" borderId="0" applyNumberFormat="0" applyFont="0" applyBorder="0" applyAlignment="0" applyProtection="0">
      <protection locked="0"/>
    </xf>
    <xf numFmtId="0" fontId="3" fillId="4" borderId="0" applyNumberFormat="0" applyFont="0" applyBorder="0" applyAlignment="0" applyProtection="0">
      <protection locked="0"/>
    </xf>
    <xf numFmtId="0" fontId="12" fillId="2" borderId="0" applyNumberFormat="0" applyFont="0" applyBorder="0" applyAlignment="0" applyProtection="0"/>
    <xf numFmtId="0" fontId="13" fillId="0" borderId="0"/>
    <xf numFmtId="0" fontId="13" fillId="0" borderId="0"/>
    <xf numFmtId="0" fontId="21" fillId="0" borderId="0"/>
    <xf numFmtId="165" fontId="3" fillId="0" borderId="0" applyFont="0" applyFill="0" applyBorder="0" applyAlignment="0" applyProtection="0"/>
    <xf numFmtId="164" fontId="3" fillId="0" borderId="0" applyFont="0" applyFill="0" applyBorder="0" applyAlignment="0" applyProtection="0"/>
    <xf numFmtId="0" fontId="49" fillId="0" borderId="0"/>
    <xf numFmtId="0" fontId="1" fillId="0" borderId="0"/>
    <xf numFmtId="164" fontId="1" fillId="0" borderId="0" applyFont="0" applyFill="0" applyBorder="0" applyAlignment="0" applyProtection="0"/>
    <xf numFmtId="44" fontId="1" fillId="0" borderId="0" applyFont="0" applyFill="0" applyBorder="0" applyAlignment="0" applyProtection="0"/>
    <xf numFmtId="171" fontId="3" fillId="0" borderId="0" applyFill="0" applyBorder="0" applyAlignment="0" applyProtection="0"/>
    <xf numFmtId="172" fontId="3" fillId="0" borderId="0" applyFill="0" applyBorder="0" applyAlignment="0" applyProtection="0"/>
    <xf numFmtId="0" fontId="90" fillId="0" borderId="0" applyNumberFormat="0" applyFill="0" applyBorder="0" applyAlignment="0" applyProtection="0"/>
    <xf numFmtId="0" fontId="3" fillId="0" borderId="0"/>
    <xf numFmtId="174" fontId="3" fillId="0" borderId="0" applyFont="0" applyFill="0" applyBorder="0" applyAlignment="0" applyProtection="0"/>
    <xf numFmtId="0" fontId="3" fillId="0" borderId="0"/>
    <xf numFmtId="0" fontId="3" fillId="0" borderId="0"/>
    <xf numFmtId="0" fontId="3" fillId="0" borderId="0"/>
    <xf numFmtId="0" fontId="3" fillId="0" borderId="0"/>
    <xf numFmtId="0" fontId="7" fillId="0" borderId="0"/>
  </cellStyleXfs>
  <cellXfs count="1062">
    <xf numFmtId="0" fontId="0" fillId="0" borderId="0" xfId="0"/>
    <xf numFmtId="0" fontId="1" fillId="0" borderId="0" xfId="66"/>
    <xf numFmtId="0" fontId="7" fillId="0" borderId="0" xfId="30"/>
    <xf numFmtId="4" fontId="108" fillId="13" borderId="0" xfId="73" applyNumberFormat="1" applyFont="1" applyFill="1" applyBorder="1" applyAlignment="1" applyProtection="1">
      <alignment vertical="center"/>
    </xf>
    <xf numFmtId="0" fontId="107" fillId="0" borderId="0" xfId="30" applyFont="1" applyAlignment="1">
      <alignment horizontal="left"/>
    </xf>
    <xf numFmtId="4" fontId="108" fillId="0" borderId="0" xfId="73" applyNumberFormat="1" applyFont="1" applyFill="1" applyBorder="1" applyAlignment="1" applyProtection="1">
      <alignment vertical="center"/>
    </xf>
    <xf numFmtId="0" fontId="111" fillId="0" borderId="0" xfId="74" applyFont="1"/>
    <xf numFmtId="0" fontId="113" fillId="0" borderId="0" xfId="30" applyFont="1"/>
    <xf numFmtId="0" fontId="52" fillId="0" borderId="0" xfId="30" applyFont="1"/>
    <xf numFmtId="44" fontId="82" fillId="0" borderId="0" xfId="68" applyFont="1" applyFill="1" applyBorder="1" applyAlignment="1" applyProtection="1">
      <alignment horizontal="center" wrapText="1"/>
      <protection locked="0"/>
    </xf>
    <xf numFmtId="44" fontId="83" fillId="0" borderId="0" xfId="68" applyFont="1" applyFill="1" applyBorder="1" applyAlignment="1" applyProtection="1">
      <alignment horizontal="center" wrapText="1"/>
      <protection locked="0"/>
    </xf>
    <xf numFmtId="2" fontId="14" fillId="12" borderId="0" xfId="67" applyNumberFormat="1" applyFont="1" applyFill="1" applyBorder="1" applyAlignment="1" applyProtection="1">
      <alignment horizontal="right" vertical="center" wrapText="1"/>
      <protection locked="0"/>
    </xf>
    <xf numFmtId="2" fontId="14" fillId="12" borderId="0" xfId="68" applyNumberFormat="1" applyFont="1" applyFill="1" applyBorder="1" applyAlignment="1" applyProtection="1">
      <alignment horizontal="right" vertical="center" wrapText="1"/>
      <protection locked="0"/>
    </xf>
    <xf numFmtId="4" fontId="12" fillId="12" borderId="6" xfId="66" applyNumberFormat="1" applyFont="1" applyFill="1" applyBorder="1" applyAlignment="1" applyProtection="1">
      <alignment horizontal="right" vertical="center" shrinkToFit="1"/>
      <protection locked="0"/>
    </xf>
    <xf numFmtId="4" fontId="12" fillId="12" borderId="31" xfId="66" applyNumberFormat="1" applyFont="1" applyFill="1" applyBorder="1" applyAlignment="1" applyProtection="1">
      <alignment horizontal="right" vertical="center" shrinkToFit="1"/>
      <protection locked="0"/>
    </xf>
    <xf numFmtId="4" fontId="3" fillId="12" borderId="0" xfId="15" applyNumberFormat="1" applyFill="1" applyProtection="1">
      <protection locked="0"/>
    </xf>
    <xf numFmtId="0" fontId="16" fillId="0" borderId="1" xfId="0" applyFont="1" applyBorder="1" applyAlignment="1">
      <alignment horizontal="left" vertical="top" wrapText="1"/>
    </xf>
    <xf numFmtId="0" fontId="16" fillId="0" borderId="1" xfId="0" applyFont="1" applyBorder="1" applyAlignment="1">
      <alignment horizontal="center" wrapText="1"/>
    </xf>
    <xf numFmtId="0" fontId="16" fillId="0" borderId="1" xfId="0" applyFont="1" applyBorder="1" applyAlignment="1">
      <alignment horizontal="center"/>
    </xf>
    <xf numFmtId="49" fontId="16" fillId="0" borderId="1" xfId="0" applyNumberFormat="1" applyFont="1" applyBorder="1" applyAlignment="1">
      <alignment horizontal="right"/>
    </xf>
    <xf numFmtId="0" fontId="16" fillId="0" borderId="1" xfId="0" applyFont="1" applyBorder="1" applyAlignment="1">
      <alignment horizontal="right"/>
    </xf>
    <xf numFmtId="0" fontId="32" fillId="0" borderId="0" xfId="0" applyFont="1"/>
    <xf numFmtId="0" fontId="3" fillId="0" borderId="0" xfId="19" applyAlignment="1">
      <alignment horizontal="left" vertical="top"/>
    </xf>
    <xf numFmtId="0" fontId="3" fillId="0" borderId="0" xfId="19" applyAlignment="1">
      <alignment wrapText="1"/>
    </xf>
    <xf numFmtId="0" fontId="3" fillId="0" borderId="0" xfId="19"/>
    <xf numFmtId="2" fontId="3" fillId="0" borderId="0" xfId="19" applyNumberFormat="1"/>
    <xf numFmtId="0" fontId="29" fillId="0" borderId="0" xfId="19" applyFont="1"/>
    <xf numFmtId="0" fontId="29" fillId="0" borderId="0" xfId="19" applyFont="1" applyAlignment="1">
      <alignment horizontal="left" vertical="top"/>
    </xf>
    <xf numFmtId="0" fontId="29" fillId="0" borderId="0" xfId="19" applyFont="1" applyAlignment="1">
      <alignment wrapText="1"/>
    </xf>
    <xf numFmtId="4" fontId="3" fillId="0" borderId="0" xfId="19" applyNumberFormat="1"/>
    <xf numFmtId="4" fontId="29" fillId="0" borderId="0" xfId="19" applyNumberFormat="1" applyFont="1"/>
    <xf numFmtId="2" fontId="29" fillId="0" borderId="0" xfId="19" applyNumberFormat="1" applyFont="1"/>
    <xf numFmtId="0" fontId="3" fillId="0" borderId="0" xfId="19" applyAlignment="1">
      <alignment vertical="top" wrapText="1"/>
    </xf>
    <xf numFmtId="0" fontId="4" fillId="0" borderId="0" xfId="19" applyFont="1" applyAlignment="1">
      <alignment vertical="top" wrapText="1"/>
    </xf>
    <xf numFmtId="2" fontId="29" fillId="0" borderId="0" xfId="19" applyNumberFormat="1" applyFont="1" applyAlignment="1">
      <alignment horizontal="right"/>
    </xf>
    <xf numFmtId="0" fontId="3" fillId="0" borderId="0" xfId="19" applyAlignment="1">
      <alignment vertical="top"/>
    </xf>
    <xf numFmtId="0" fontId="3" fillId="0" borderId="0" xfId="19" applyAlignment="1">
      <alignment horizontal="center"/>
    </xf>
    <xf numFmtId="0" fontId="30" fillId="0" borderId="0" xfId="19" applyFont="1" applyAlignment="1">
      <alignment horizontal="left" vertical="top" wrapText="1"/>
    </xf>
    <xf numFmtId="0" fontId="30" fillId="0" borderId="0" xfId="19" applyFont="1" applyAlignment="1">
      <alignment horizontal="center" vertical="center" wrapText="1"/>
    </xf>
    <xf numFmtId="2" fontId="30" fillId="0" borderId="0" xfId="19" applyNumberFormat="1" applyFont="1" applyAlignment="1">
      <alignment horizontal="center" vertical="center" wrapText="1"/>
    </xf>
    <xf numFmtId="0" fontId="4" fillId="0" borderId="0" xfId="19" applyFont="1" applyAlignment="1">
      <alignment horizontal="center" vertical="center" wrapText="1"/>
    </xf>
    <xf numFmtId="0" fontId="4" fillId="0" borderId="0" xfId="19" applyFont="1" applyAlignment="1">
      <alignment horizontal="left" vertical="top" wrapText="1"/>
    </xf>
    <xf numFmtId="0" fontId="29" fillId="0" borderId="0" xfId="19" applyFont="1" applyAlignment="1">
      <alignment horizontal="left" vertical="top" wrapText="1"/>
    </xf>
    <xf numFmtId="0" fontId="3" fillId="0" borderId="0" xfId="19" applyAlignment="1">
      <alignment horizontal="left" vertical="top" wrapText="1"/>
    </xf>
    <xf numFmtId="4" fontId="29" fillId="0" borderId="0" xfId="19" applyNumberFormat="1" applyFont="1" applyAlignment="1">
      <alignment horizontal="right"/>
    </xf>
    <xf numFmtId="2" fontId="29" fillId="0" borderId="0" xfId="19" applyNumberFormat="1" applyFont="1" applyAlignment="1">
      <alignment horizontal="left" vertical="top" wrapText="1"/>
    </xf>
    <xf numFmtId="0" fontId="7" fillId="0" borderId="0" xfId="19" applyFont="1" applyAlignment="1">
      <alignment horizontal="left" vertical="top"/>
    </xf>
    <xf numFmtId="0" fontId="7" fillId="0" borderId="0" xfId="19" applyFont="1" applyAlignment="1">
      <alignment wrapText="1"/>
    </xf>
    <xf numFmtId="0" fontId="7" fillId="0" borderId="0" xfId="19" applyFont="1" applyAlignment="1">
      <alignment horizontal="left" vertical="top" wrapText="1"/>
    </xf>
    <xf numFmtId="0" fontId="7" fillId="0" borderId="0" xfId="19" applyFont="1"/>
    <xf numFmtId="0" fontId="29" fillId="0" borderId="0" xfId="19" applyFont="1" applyAlignment="1">
      <alignment horizontal="center"/>
    </xf>
    <xf numFmtId="0" fontId="4" fillId="0" borderId="0" xfId="19" applyFont="1"/>
    <xf numFmtId="0" fontId="19" fillId="0" borderId="0" xfId="19" applyFont="1" applyAlignment="1">
      <alignment vertical="top" wrapText="1"/>
    </xf>
    <xf numFmtId="0" fontId="34" fillId="0" borderId="0" xfId="19" applyFont="1" applyAlignment="1">
      <alignment vertical="top" wrapText="1"/>
    </xf>
    <xf numFmtId="0" fontId="30" fillId="0" borderId="0" xfId="19" applyFont="1"/>
    <xf numFmtId="0" fontId="29" fillId="0" borderId="0" xfId="15" applyFont="1" applyAlignment="1">
      <alignment horizontal="left" vertical="top"/>
    </xf>
    <xf numFmtId="49" fontId="30" fillId="0" borderId="0" xfId="15" applyNumberFormat="1" applyFont="1" applyAlignment="1">
      <alignment horizontal="center" vertical="top"/>
    </xf>
    <xf numFmtId="0" fontId="29" fillId="0" borderId="0" xfId="15" applyFont="1"/>
    <xf numFmtId="0" fontId="30" fillId="0" borderId="0" xfId="19" applyFont="1" applyAlignment="1">
      <alignment horizontal="justify" vertical="top" wrapText="1"/>
    </xf>
    <xf numFmtId="0" fontId="29" fillId="0" borderId="0" xfId="15" applyFont="1" applyAlignment="1">
      <alignment horizontal="center"/>
    </xf>
    <xf numFmtId="2" fontId="29" fillId="0" borderId="0" xfId="15" applyNumberFormat="1" applyFont="1" applyAlignment="1">
      <alignment horizontal="right"/>
    </xf>
    <xf numFmtId="0" fontId="3" fillId="0" borderId="0" xfId="15"/>
    <xf numFmtId="4" fontId="3" fillId="0" borderId="0" xfId="15" applyNumberFormat="1"/>
    <xf numFmtId="0" fontId="3" fillId="0" borderId="0" xfId="15" applyAlignment="1">
      <alignment horizontal="left" vertical="top"/>
    </xf>
    <xf numFmtId="2" fontId="3" fillId="0" borderId="0" xfId="15" applyNumberFormat="1" applyAlignment="1">
      <alignment horizontal="center" vertical="top"/>
    </xf>
    <xf numFmtId="0" fontId="3" fillId="0" borderId="0" xfId="15" applyAlignment="1">
      <alignment horizontal="center"/>
    </xf>
    <xf numFmtId="2" fontId="3" fillId="0" borderId="0" xfId="15" applyNumberFormat="1" applyAlignment="1">
      <alignment horizontal="right"/>
    </xf>
    <xf numFmtId="2" fontId="30" fillId="0" borderId="0" xfId="15" applyNumberFormat="1" applyFont="1" applyAlignment="1">
      <alignment horizontal="center" vertical="top"/>
    </xf>
    <xf numFmtId="0" fontId="29" fillId="0" borderId="0" xfId="19" applyFont="1" applyAlignment="1">
      <alignment horizontal="justify" vertical="top" wrapText="1"/>
    </xf>
    <xf numFmtId="4" fontId="3" fillId="0" borderId="0" xfId="15" applyNumberFormat="1" applyAlignment="1">
      <alignment horizontal="right"/>
    </xf>
    <xf numFmtId="2" fontId="29" fillId="0" borderId="0" xfId="15" applyNumberFormat="1" applyFont="1" applyAlignment="1">
      <alignment horizontal="center" vertical="top"/>
    </xf>
    <xf numFmtId="0" fontId="3" fillId="0" borderId="0" xfId="19" applyAlignment="1">
      <alignment horizontal="justify" vertical="top" wrapText="1"/>
    </xf>
    <xf numFmtId="49" fontId="3" fillId="0" borderId="3" xfId="15" applyNumberFormat="1" applyBorder="1" applyAlignment="1">
      <alignment horizontal="center" vertical="top"/>
    </xf>
    <xf numFmtId="0" fontId="4" fillId="0" borderId="3" xfId="15" applyFont="1" applyBorder="1" applyAlignment="1">
      <alignment vertical="top" wrapText="1"/>
    </xf>
    <xf numFmtId="0" fontId="3" fillId="0" borderId="3" xfId="15" applyBorder="1" applyAlignment="1">
      <alignment horizontal="center"/>
    </xf>
    <xf numFmtId="4" fontId="3" fillId="0" borderId="3" xfId="15" applyNumberFormat="1" applyBorder="1" applyAlignment="1">
      <alignment horizontal="right"/>
    </xf>
    <xf numFmtId="49" fontId="3" fillId="0" borderId="0" xfId="15" applyNumberFormat="1" applyAlignment="1">
      <alignment horizontal="center" vertical="top"/>
    </xf>
    <xf numFmtId="0" fontId="3" fillId="0" borderId="3" xfId="19" applyBorder="1"/>
    <xf numFmtId="4" fontId="3" fillId="0" borderId="3" xfId="15" applyNumberFormat="1" applyBorder="1"/>
    <xf numFmtId="49" fontId="4" fillId="0" borderId="4" xfId="15" applyNumberFormat="1" applyFont="1" applyBorder="1" applyAlignment="1">
      <alignment horizontal="center" vertical="top"/>
    </xf>
    <xf numFmtId="0" fontId="4" fillId="0" borderId="4" xfId="15" applyFont="1" applyBorder="1" applyAlignment="1">
      <alignment vertical="top" wrapText="1"/>
    </xf>
    <xf numFmtId="0" fontId="4" fillId="0" borderId="4" xfId="15" applyFont="1" applyBorder="1" applyAlignment="1">
      <alignment horizontal="center"/>
    </xf>
    <xf numFmtId="4" fontId="3" fillId="0" borderId="4" xfId="15" applyNumberFormat="1" applyBorder="1"/>
    <xf numFmtId="49" fontId="29" fillId="0" borderId="0" xfId="15" applyNumberFormat="1" applyFont="1"/>
    <xf numFmtId="2" fontId="29" fillId="0" borderId="0" xfId="15" applyNumberFormat="1" applyFont="1"/>
    <xf numFmtId="0" fontId="29" fillId="5" borderId="0" xfId="15" applyFont="1" applyFill="1" applyAlignment="1">
      <alignment horizontal="left" vertical="top"/>
    </xf>
    <xf numFmtId="49" fontId="29" fillId="5" borderId="0" xfId="15" applyNumberFormat="1" applyFont="1" applyFill="1"/>
    <xf numFmtId="0" fontId="29" fillId="5" borderId="0" xfId="15" applyFont="1" applyFill="1"/>
    <xf numFmtId="2" fontId="29" fillId="5" borderId="0" xfId="15" applyNumberFormat="1" applyFont="1" applyFill="1"/>
    <xf numFmtId="0" fontId="3" fillId="5" borderId="0" xfId="15" applyFill="1"/>
    <xf numFmtId="0" fontId="29" fillId="5" borderId="0" xfId="19" applyFont="1" applyFill="1" applyAlignment="1">
      <alignment horizontal="left" vertical="top"/>
    </xf>
    <xf numFmtId="0" fontId="29" fillId="5" borderId="0" xfId="19" applyFont="1" applyFill="1" applyAlignment="1">
      <alignment wrapText="1"/>
    </xf>
    <xf numFmtId="0" fontId="29" fillId="5" borderId="0" xfId="19" applyFont="1" applyFill="1"/>
    <xf numFmtId="4" fontId="29" fillId="5" borderId="0" xfId="19" applyNumberFormat="1" applyFont="1" applyFill="1" applyAlignment="1">
      <alignment horizontal="right"/>
    </xf>
    <xf numFmtId="2" fontId="29" fillId="5" borderId="0" xfId="19" applyNumberFormat="1" applyFont="1" applyFill="1"/>
    <xf numFmtId="4" fontId="3" fillId="5" borderId="0" xfId="19" applyNumberFormat="1" applyFill="1"/>
    <xf numFmtId="0" fontId="3" fillId="5" borderId="0" xfId="19" applyFill="1"/>
    <xf numFmtId="2" fontId="3" fillId="5" borderId="0" xfId="19" applyNumberFormat="1" applyFill="1"/>
    <xf numFmtId="4" fontId="29" fillId="5" borderId="0" xfId="19" applyNumberFormat="1" applyFont="1" applyFill="1"/>
    <xf numFmtId="0" fontId="3" fillId="5" borderId="0" xfId="19" applyFill="1" applyAlignment="1">
      <alignment vertical="top"/>
    </xf>
    <xf numFmtId="2" fontId="29" fillId="5" borderId="0" xfId="19" applyNumberFormat="1" applyFont="1" applyFill="1" applyAlignment="1">
      <alignment horizontal="right"/>
    </xf>
    <xf numFmtId="0" fontId="6" fillId="5" borderId="0" xfId="19" applyFont="1" applyFill="1" applyAlignment="1">
      <alignment horizontal="center"/>
    </xf>
    <xf numFmtId="0" fontId="33" fillId="5" borderId="0" xfId="19" applyFont="1" applyFill="1" applyAlignment="1">
      <alignment horizontal="left" vertical="top"/>
    </xf>
    <xf numFmtId="0" fontId="33" fillId="5" borderId="0" xfId="19" applyFont="1" applyFill="1" applyAlignment="1">
      <alignment horizontal="center"/>
    </xf>
    <xf numFmtId="0" fontId="30" fillId="5" borderId="0" xfId="19" applyFont="1" applyFill="1"/>
    <xf numFmtId="0" fontId="29" fillId="0" borderId="0" xfId="19" applyFont="1" applyAlignment="1">
      <alignment horizontal="center" vertical="top"/>
    </xf>
    <xf numFmtId="0" fontId="4" fillId="0" borderId="0" xfId="19" applyFont="1" applyAlignment="1">
      <alignment horizontal="center" vertical="top"/>
    </xf>
    <xf numFmtId="0" fontId="30" fillId="0" borderId="0" xfId="19" applyFont="1" applyAlignment="1">
      <alignment horizontal="center" vertical="top"/>
    </xf>
    <xf numFmtId="2" fontId="30" fillId="0" borderId="0" xfId="19" applyNumberFormat="1" applyFont="1" applyAlignment="1">
      <alignment horizontal="center" vertical="top"/>
    </xf>
    <xf numFmtId="0" fontId="4" fillId="0" borderId="0" xfId="19" applyFont="1" applyAlignment="1">
      <alignment wrapText="1"/>
    </xf>
    <xf numFmtId="4" fontId="3" fillId="0" borderId="0" xfId="19" applyNumberFormat="1" applyAlignment="1">
      <alignment horizontal="right"/>
    </xf>
    <xf numFmtId="0" fontId="4" fillId="0" borderId="0" xfId="19" applyFont="1" applyAlignment="1">
      <alignment horizontal="left" vertical="top"/>
    </xf>
    <xf numFmtId="0" fontId="3" fillId="0" borderId="0" xfId="19" applyAlignment="1">
      <alignment horizontal="center" vertical="top"/>
    </xf>
    <xf numFmtId="0" fontId="3" fillId="0" borderId="0" xfId="15" applyAlignment="1">
      <alignment vertical="top" wrapText="1"/>
    </xf>
    <xf numFmtId="0" fontId="3" fillId="0" borderId="2" xfId="19" applyBorder="1" applyAlignment="1">
      <alignment vertical="top"/>
    </xf>
    <xf numFmtId="0" fontId="3" fillId="0" borderId="2" xfId="19" applyBorder="1"/>
    <xf numFmtId="4" fontId="3" fillId="0" borderId="2" xfId="19" applyNumberFormat="1" applyBorder="1"/>
    <xf numFmtId="0" fontId="30" fillId="0" borderId="0" xfId="19" applyFont="1" applyAlignment="1">
      <alignment horizontal="left" vertical="top"/>
    </xf>
    <xf numFmtId="0" fontId="30" fillId="0" borderId="0" xfId="19" applyFont="1" applyAlignment="1">
      <alignment wrapText="1"/>
    </xf>
    <xf numFmtId="0" fontId="3" fillId="0" borderId="2" xfId="19" applyBorder="1" applyAlignment="1">
      <alignment wrapText="1"/>
    </xf>
    <xf numFmtId="4" fontId="3" fillId="0" borderId="3" xfId="19" applyNumberFormat="1" applyBorder="1"/>
    <xf numFmtId="0" fontId="32" fillId="0" borderId="0" xfId="0" applyFont="1" applyAlignment="1">
      <alignment horizontal="left" vertical="top"/>
    </xf>
    <xf numFmtId="0" fontId="32" fillId="0" borderId="0" xfId="0" applyFont="1" applyAlignment="1">
      <alignment horizontal="center" vertical="top"/>
    </xf>
    <xf numFmtId="0" fontId="29" fillId="0" borderId="0" xfId="0" applyFont="1" applyAlignment="1">
      <alignment horizontal="justify" vertical="top" wrapText="1"/>
    </xf>
    <xf numFmtId="2" fontId="29" fillId="0" borderId="0" xfId="0" applyNumberFormat="1" applyFont="1" applyAlignment="1">
      <alignment horizontal="justify" vertical="top" wrapText="1"/>
    </xf>
    <xf numFmtId="0" fontId="3" fillId="0" borderId="0" xfId="0" applyFont="1" applyAlignment="1">
      <alignment horizontal="justify" vertical="top" wrapText="1"/>
    </xf>
    <xf numFmtId="0" fontId="7" fillId="0" borderId="0" xfId="0" applyFont="1" applyAlignment="1">
      <alignment horizontal="left" vertical="top"/>
    </xf>
    <xf numFmtId="0" fontId="7" fillId="0" borderId="0" xfId="0" applyFont="1" applyAlignment="1">
      <alignment horizontal="center" vertical="top"/>
    </xf>
    <xf numFmtId="0" fontId="15" fillId="0" borderId="0" xfId="0" applyFont="1" applyAlignment="1">
      <alignment horizontal="justify" vertical="top" wrapText="1"/>
    </xf>
    <xf numFmtId="0" fontId="7" fillId="0" borderId="0" xfId="0" applyFont="1"/>
    <xf numFmtId="0" fontId="7" fillId="0" borderId="0" xfId="0" applyFont="1" applyAlignment="1">
      <alignment horizontal="left" vertical="top" wrapText="1"/>
    </xf>
    <xf numFmtId="0" fontId="7" fillId="0" borderId="0" xfId="0" applyFont="1" applyAlignment="1">
      <alignment horizontal="center" vertical="top" wrapText="1"/>
    </xf>
    <xf numFmtId="0" fontId="7" fillId="0" borderId="0" xfId="0" applyFont="1" applyAlignment="1">
      <alignment wrapText="1"/>
    </xf>
    <xf numFmtId="0" fontId="29" fillId="0" borderId="0" xfId="0" applyFont="1" applyAlignment="1">
      <alignment horizontal="left" vertical="top" wrapText="1"/>
    </xf>
    <xf numFmtId="0" fontId="29" fillId="0" borderId="0" xfId="0" applyFont="1" applyAlignment="1">
      <alignment vertical="top" wrapText="1"/>
    </xf>
    <xf numFmtId="0" fontId="32"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center" vertical="top"/>
    </xf>
    <xf numFmtId="0" fontId="3" fillId="0" borderId="0" xfId="0" applyFont="1"/>
    <xf numFmtId="0" fontId="32" fillId="0" borderId="0" xfId="0" applyFont="1" applyAlignment="1">
      <alignment horizontal="left" vertical="top" wrapText="1"/>
    </xf>
    <xf numFmtId="0" fontId="32" fillId="0" borderId="0" xfId="0" applyFont="1" applyAlignment="1">
      <alignment horizontal="center" vertical="top" wrapText="1"/>
    </xf>
    <xf numFmtId="0" fontId="32" fillId="0" borderId="0" xfId="0" applyFont="1" applyAlignment="1">
      <alignment wrapText="1"/>
    </xf>
    <xf numFmtId="0" fontId="29" fillId="0" borderId="0" xfId="0" applyFont="1"/>
    <xf numFmtId="0" fontId="29" fillId="0" borderId="0" xfId="0" applyFont="1" applyAlignment="1">
      <alignment horizontal="left" vertical="top"/>
    </xf>
    <xf numFmtId="0" fontId="29" fillId="0" borderId="0" xfId="0" applyFont="1" applyAlignment="1">
      <alignment horizontal="center" vertical="top"/>
    </xf>
    <xf numFmtId="0" fontId="29" fillId="0" borderId="0" xfId="0" applyFont="1" applyAlignment="1">
      <alignment horizontal="center"/>
    </xf>
    <xf numFmtId="2" fontId="29" fillId="0" borderId="0" xfId="0" applyNumberFormat="1" applyFont="1" applyAlignment="1">
      <alignment horizontal="right"/>
    </xf>
    <xf numFmtId="4" fontId="3" fillId="0" borderId="0" xfId="0" applyNumberFormat="1" applyFont="1"/>
    <xf numFmtId="0" fontId="15" fillId="0" borderId="0" xfId="15" applyFont="1" applyAlignment="1">
      <alignment horizontal="left" vertical="top"/>
    </xf>
    <xf numFmtId="0" fontId="4" fillId="0" borderId="0" xfId="0" applyFont="1" applyAlignment="1">
      <alignment horizontal="center" vertical="top"/>
    </xf>
    <xf numFmtId="0" fontId="4" fillId="0" borderId="6" xfId="0" applyFont="1" applyBorder="1" applyAlignment="1">
      <alignment vertical="top" wrapText="1"/>
    </xf>
    <xf numFmtId="0" fontId="3" fillId="0" borderId="0" xfId="0" applyFont="1" applyAlignment="1">
      <alignment horizontal="center"/>
    </xf>
    <xf numFmtId="2" fontId="3" fillId="0" borderId="0" xfId="0" applyNumberFormat="1" applyFont="1" applyAlignment="1">
      <alignment horizontal="right"/>
    </xf>
    <xf numFmtId="0" fontId="4" fillId="0" borderId="0" xfId="0" applyFont="1"/>
    <xf numFmtId="0" fontId="3" fillId="0" borderId="0" xfId="0" applyFont="1" applyAlignment="1">
      <alignment vertical="top" wrapText="1"/>
    </xf>
    <xf numFmtId="0" fontId="3" fillId="0" borderId="0" xfId="15" applyAlignment="1">
      <alignment horizontal="center" vertical="top"/>
    </xf>
    <xf numFmtId="0" fontId="7" fillId="0" borderId="0" xfId="15" applyFont="1" applyAlignment="1">
      <alignment vertical="top" wrapText="1"/>
    </xf>
    <xf numFmtId="0" fontId="4" fillId="0" borderId="0" xfId="15" applyFont="1" applyAlignment="1">
      <alignment horizontal="left" vertical="top"/>
    </xf>
    <xf numFmtId="0" fontId="29" fillId="0" borderId="0" xfId="15" applyFont="1" applyAlignment="1">
      <alignment horizontal="center" vertical="top"/>
    </xf>
    <xf numFmtId="0" fontId="29" fillId="0" borderId="0" xfId="15" applyFont="1" applyAlignment="1">
      <alignment vertical="top" wrapText="1"/>
    </xf>
    <xf numFmtId="0" fontId="15" fillId="0" borderId="0" xfId="0" applyFont="1" applyAlignment="1">
      <alignment horizontal="left" vertical="top"/>
    </xf>
    <xf numFmtId="0" fontId="7" fillId="0" borderId="0" xfId="0" applyFont="1" applyAlignment="1">
      <alignment horizontal="justify" vertical="top" wrapText="1"/>
    </xf>
    <xf numFmtId="0" fontId="7" fillId="0" borderId="0" xfId="0" applyFont="1" applyAlignment="1">
      <alignment horizontal="center"/>
    </xf>
    <xf numFmtId="2" fontId="7" fillId="0" borderId="0" xfId="0" applyNumberFormat="1" applyFont="1" applyAlignment="1">
      <alignment horizontal="right"/>
    </xf>
    <xf numFmtId="0" fontId="15" fillId="0" borderId="0" xfId="15" applyFont="1" applyAlignment="1">
      <alignment horizontal="center" vertical="top"/>
    </xf>
    <xf numFmtId="0" fontId="15" fillId="0" borderId="0" xfId="15" applyFont="1" applyAlignment="1">
      <alignment vertical="top" wrapText="1"/>
    </xf>
    <xf numFmtId="0" fontId="7" fillId="0" borderId="0" xfId="15" applyFont="1" applyAlignment="1">
      <alignment horizontal="center"/>
    </xf>
    <xf numFmtId="2" fontId="7" fillId="0" borderId="0" xfId="15" applyNumberFormat="1" applyFont="1" applyAlignment="1">
      <alignment horizontal="right"/>
    </xf>
    <xf numFmtId="0" fontId="7" fillId="0" borderId="0" xfId="15" applyFont="1" applyAlignment="1">
      <alignment horizontal="center" vertical="top"/>
    </xf>
    <xf numFmtId="0" fontId="7" fillId="0" borderId="0" xfId="15" applyFont="1" applyAlignment="1">
      <alignment horizontal="left" vertical="top"/>
    </xf>
    <xf numFmtId="2" fontId="3" fillId="0" borderId="0" xfId="13" applyNumberFormat="1" applyAlignment="1">
      <alignment wrapText="1"/>
    </xf>
    <xf numFmtId="4" fontId="3" fillId="0" borderId="0" xfId="15" applyNumberFormat="1" applyAlignment="1">
      <alignment vertical="top"/>
    </xf>
    <xf numFmtId="2" fontId="29" fillId="0" borderId="0" xfId="15" applyNumberFormat="1" applyFont="1" applyAlignment="1">
      <alignment horizontal="right" vertical="top"/>
    </xf>
    <xf numFmtId="0" fontId="7" fillId="0" borderId="0" xfId="15" quotePrefix="1" applyFont="1" applyAlignment="1">
      <alignment vertical="top" wrapText="1"/>
    </xf>
    <xf numFmtId="0" fontId="7" fillId="0" borderId="0" xfId="15" applyFont="1" applyAlignment="1">
      <alignment horizontal="left" vertical="top" wrapText="1"/>
    </xf>
    <xf numFmtId="0" fontId="32" fillId="0" borderId="0" xfId="15" applyFont="1"/>
    <xf numFmtId="0" fontId="7" fillId="0" borderId="0" xfId="15" applyFont="1"/>
    <xf numFmtId="0" fontId="32" fillId="0" borderId="0" xfId="15" applyFont="1" applyAlignment="1">
      <alignment horizontal="left" vertical="top"/>
    </xf>
    <xf numFmtId="0" fontId="32" fillId="0" borderId="0" xfId="15" applyFont="1" applyAlignment="1">
      <alignment horizontal="center" vertical="top"/>
    </xf>
    <xf numFmtId="0" fontId="32" fillId="0" borderId="0" xfId="15" applyFont="1" applyAlignment="1">
      <alignment horizontal="right" vertical="top" wrapText="1"/>
    </xf>
    <xf numFmtId="0" fontId="7" fillId="0" borderId="0" xfId="15" applyFont="1" applyAlignment="1">
      <alignment horizontal="right" vertical="top" wrapText="1"/>
    </xf>
    <xf numFmtId="0" fontId="15" fillId="0" borderId="1" xfId="0" applyFont="1" applyBorder="1" applyAlignment="1">
      <alignment vertical="top" wrapText="1"/>
    </xf>
    <xf numFmtId="0" fontId="3" fillId="0" borderId="1" xfId="0" applyFont="1" applyBorder="1" applyAlignment="1">
      <alignment horizontal="center"/>
    </xf>
    <xf numFmtId="2" fontId="3" fillId="0" borderId="1" xfId="0" applyNumberFormat="1" applyFont="1" applyBorder="1" applyAlignment="1">
      <alignment horizontal="right"/>
    </xf>
    <xf numFmtId="4" fontId="3" fillId="0" borderId="1" xfId="0" applyNumberFormat="1" applyFont="1" applyBorder="1"/>
    <xf numFmtId="0" fontId="4" fillId="0" borderId="0" xfId="15" applyFont="1" applyAlignment="1">
      <alignment horizontal="center" vertical="top"/>
    </xf>
    <xf numFmtId="0" fontId="29" fillId="0" borderId="0" xfId="15" applyFont="1" applyAlignment="1">
      <alignment horizontal="right"/>
    </xf>
    <xf numFmtId="0" fontId="3" fillId="0" borderId="0" xfId="15" applyAlignment="1">
      <alignment horizontal="left" vertical="top" wrapText="1"/>
    </xf>
    <xf numFmtId="0" fontId="30" fillId="0" borderId="0" xfId="15" applyFont="1" applyAlignment="1">
      <alignment horizontal="left" vertical="top"/>
    </xf>
    <xf numFmtId="0" fontId="7" fillId="0" borderId="0" xfId="19" applyFont="1" applyAlignment="1">
      <alignment horizontal="center" vertical="top"/>
    </xf>
    <xf numFmtId="2" fontId="15" fillId="0" borderId="0" xfId="0" applyNumberFormat="1" applyFont="1" applyAlignment="1">
      <alignment horizontal="justify" vertical="top" wrapText="1"/>
    </xf>
    <xf numFmtId="0" fontId="4" fillId="0" borderId="0" xfId="0" applyFont="1" applyAlignment="1">
      <alignment horizontal="justify" vertical="top" wrapText="1"/>
    </xf>
    <xf numFmtId="2" fontId="7" fillId="0" borderId="0" xfId="0" applyNumberFormat="1" applyFont="1" applyAlignment="1">
      <alignment vertical="top" wrapText="1"/>
    </xf>
    <xf numFmtId="4" fontId="3" fillId="0" borderId="0" xfId="0" applyNumberFormat="1" applyFont="1" applyAlignment="1">
      <alignment vertical="top" wrapText="1"/>
    </xf>
    <xf numFmtId="0" fontId="32" fillId="0" borderId="0" xfId="0" applyFont="1" applyAlignment="1">
      <alignment vertical="top"/>
    </xf>
    <xf numFmtId="2" fontId="29" fillId="0" borderId="0" xfId="0" applyNumberFormat="1" applyFont="1" applyAlignment="1">
      <alignment vertical="top" wrapText="1"/>
    </xf>
    <xf numFmtId="2" fontId="7" fillId="0" borderId="0" xfId="0" applyNumberFormat="1" applyFont="1" applyAlignment="1">
      <alignment horizontal="justify" vertical="top" wrapText="1"/>
    </xf>
    <xf numFmtId="0" fontId="30" fillId="0" borderId="0" xfId="0" applyFont="1" applyAlignment="1">
      <alignment horizontal="justify" vertical="top" wrapText="1"/>
    </xf>
    <xf numFmtId="2" fontId="30" fillId="0" borderId="0" xfId="0" applyNumberFormat="1" applyFont="1" applyAlignment="1">
      <alignment horizontal="justify" vertical="top" wrapText="1"/>
    </xf>
    <xf numFmtId="0" fontId="4" fillId="0" borderId="0" xfId="19" applyFont="1" applyAlignment="1">
      <alignment horizontal="justify" vertical="top" wrapText="1"/>
    </xf>
    <xf numFmtId="2" fontId="4" fillId="0" borderId="0" xfId="19" applyNumberFormat="1" applyFont="1" applyAlignment="1">
      <alignment horizontal="justify" vertical="top" wrapText="1"/>
    </xf>
    <xf numFmtId="2" fontId="3" fillId="0" borderId="0" xfId="19" applyNumberFormat="1" applyAlignment="1">
      <alignment horizontal="right"/>
    </xf>
    <xf numFmtId="0" fontId="29" fillId="0" borderId="0" xfId="19" applyFont="1" applyAlignment="1">
      <alignment vertical="top" wrapText="1"/>
    </xf>
    <xf numFmtId="0" fontId="3" fillId="0" borderId="0" xfId="27" applyAlignment="1">
      <alignment vertical="top" wrapText="1"/>
    </xf>
    <xf numFmtId="4" fontId="3" fillId="0" borderId="0" xfId="0" applyNumberFormat="1" applyFont="1" applyAlignment="1">
      <alignment horizontal="right"/>
    </xf>
    <xf numFmtId="0" fontId="4" fillId="0" borderId="0" xfId="0" applyFont="1" applyAlignment="1">
      <alignment horizontal="left" vertical="top"/>
    </xf>
    <xf numFmtId="0" fontId="8" fillId="0" borderId="0" xfId="27" applyFont="1" applyAlignment="1">
      <alignment vertical="top" wrapText="1"/>
    </xf>
    <xf numFmtId="0" fontId="7" fillId="0" borderId="0" xfId="27" applyFont="1" applyAlignment="1">
      <alignment vertical="top" wrapText="1"/>
    </xf>
    <xf numFmtId="2" fontId="29" fillId="0" borderId="0" xfId="0" applyNumberFormat="1" applyFont="1"/>
    <xf numFmtId="0" fontId="30" fillId="0" borderId="0" xfId="0" applyFont="1" applyAlignment="1">
      <alignment horizontal="left" vertical="top"/>
    </xf>
    <xf numFmtId="0" fontId="7" fillId="0" borderId="0" xfId="19" applyFont="1" applyAlignment="1">
      <alignment vertical="top" wrapText="1"/>
    </xf>
    <xf numFmtId="0" fontId="7" fillId="0" borderId="0" xfId="19" applyFont="1" applyAlignment="1">
      <alignment horizontal="center"/>
    </xf>
    <xf numFmtId="0" fontId="15" fillId="0" borderId="0" xfId="19" applyFont="1" applyAlignment="1">
      <alignment horizontal="left" vertical="top"/>
    </xf>
    <xf numFmtId="4" fontId="29" fillId="0" borderId="0" xfId="19" applyNumberFormat="1" applyFont="1" applyAlignment="1">
      <alignment horizontal="right" vertical="top"/>
    </xf>
    <xf numFmtId="2" fontId="3" fillId="0" borderId="0" xfId="19" applyNumberFormat="1" applyAlignment="1">
      <alignment horizontal="right" vertical="top"/>
    </xf>
    <xf numFmtId="0" fontId="15" fillId="0" borderId="1" xfId="19" applyFont="1" applyBorder="1" applyAlignment="1">
      <alignment vertical="top" wrapText="1"/>
    </xf>
    <xf numFmtId="0" fontId="29" fillId="0" borderId="1" xfId="19" applyFont="1" applyBorder="1" applyAlignment="1">
      <alignment horizontal="center"/>
    </xf>
    <xf numFmtId="4" fontId="3" fillId="0" borderId="1" xfId="19" applyNumberFormat="1" applyBorder="1"/>
    <xf numFmtId="0" fontId="7" fillId="0" borderId="1" xfId="19" applyFont="1" applyBorder="1" applyAlignment="1">
      <alignment horizontal="center"/>
    </xf>
    <xf numFmtId="2" fontId="7" fillId="0" borderId="1" xfId="19" applyNumberFormat="1" applyFont="1" applyBorder="1" applyAlignment="1">
      <alignment horizontal="right"/>
    </xf>
    <xf numFmtId="0" fontId="7" fillId="0" borderId="0" xfId="0" applyFont="1" applyAlignment="1">
      <alignment horizontal="justify" vertical="justify" wrapText="1"/>
    </xf>
    <xf numFmtId="0" fontId="29" fillId="0" borderId="0" xfId="27" applyFont="1"/>
    <xf numFmtId="0" fontId="15" fillId="0" borderId="0" xfId="27" applyFont="1" applyAlignment="1">
      <alignment horizontal="left" vertical="top"/>
    </xf>
    <xf numFmtId="0" fontId="7" fillId="0" borderId="0" xfId="27" applyFont="1" applyAlignment="1">
      <alignment horizontal="center" vertical="top"/>
    </xf>
    <xf numFmtId="0" fontId="7" fillId="0" borderId="0" xfId="27" applyFont="1" applyAlignment="1">
      <alignment horizontal="center"/>
    </xf>
    <xf numFmtId="2" fontId="7" fillId="0" borderId="0" xfId="27" applyNumberFormat="1" applyFont="1" applyAlignment="1">
      <alignment horizontal="right"/>
    </xf>
    <xf numFmtId="4" fontId="3" fillId="0" borderId="0" xfId="27" applyNumberFormat="1"/>
    <xf numFmtId="0" fontId="15" fillId="0" borderId="0" xfId="27" applyFont="1" applyAlignment="1">
      <alignment horizontal="center" vertical="top"/>
    </xf>
    <xf numFmtId="0" fontId="30" fillId="0" borderId="0" xfId="27" applyFont="1" applyAlignment="1">
      <alignment horizontal="left" vertical="top"/>
    </xf>
    <xf numFmtId="0" fontId="29" fillId="0" borderId="0" xfId="27" applyFont="1" applyAlignment="1">
      <alignment horizontal="center" vertical="top"/>
    </xf>
    <xf numFmtId="0" fontId="29" fillId="0" borderId="0" xfId="27" applyFont="1" applyAlignment="1">
      <alignment vertical="top" wrapText="1"/>
    </xf>
    <xf numFmtId="0" fontId="29" fillId="0" borderId="0" xfId="27" applyFont="1" applyAlignment="1">
      <alignment horizontal="center"/>
    </xf>
    <xf numFmtId="2" fontId="29" fillId="0" borderId="0" xfId="27" applyNumberFormat="1" applyFont="1" applyAlignment="1">
      <alignment horizontal="right"/>
    </xf>
    <xf numFmtId="0" fontId="3" fillId="0" borderId="0" xfId="27" applyAlignment="1">
      <alignment horizontal="center" vertical="top"/>
    </xf>
    <xf numFmtId="0" fontId="3" fillId="0" borderId="0" xfId="27" applyAlignment="1">
      <alignment horizontal="center"/>
    </xf>
    <xf numFmtId="0" fontId="4" fillId="0" borderId="0" xfId="27" applyFont="1" applyAlignment="1">
      <alignment horizontal="left" vertical="top"/>
    </xf>
    <xf numFmtId="0" fontId="3" fillId="0" borderId="0" xfId="27"/>
    <xf numFmtId="0" fontId="38" fillId="0" borderId="0" xfId="27" applyFont="1" applyAlignment="1">
      <alignment vertical="top" wrapText="1"/>
    </xf>
    <xf numFmtId="0" fontId="7" fillId="0" borderId="0" xfId="0" applyFont="1" applyAlignment="1">
      <alignment horizontal="justify" vertical="top"/>
    </xf>
    <xf numFmtId="4" fontId="7" fillId="0" borderId="0" xfId="0" applyNumberFormat="1" applyFont="1" applyAlignment="1">
      <alignment horizontal="right"/>
    </xf>
    <xf numFmtId="2" fontId="7" fillId="0" borderId="0" xfId="0" applyNumberFormat="1" applyFont="1"/>
    <xf numFmtId="0" fontId="15" fillId="0" borderId="0" xfId="0" applyFont="1" applyAlignment="1">
      <alignment horizontal="center" vertical="top"/>
    </xf>
    <xf numFmtId="0" fontId="15" fillId="0" borderId="0" xfId="0" applyFont="1" applyAlignment="1">
      <alignment vertical="top" wrapText="1"/>
    </xf>
    <xf numFmtId="0" fontId="31" fillId="0" borderId="1" xfId="27" applyFont="1" applyBorder="1" applyAlignment="1">
      <alignment vertical="top" wrapText="1"/>
    </xf>
    <xf numFmtId="0" fontId="8" fillId="0" borderId="1" xfId="27" applyFont="1" applyBorder="1" applyAlignment="1">
      <alignment vertical="top" wrapText="1"/>
    </xf>
    <xf numFmtId="0" fontId="31" fillId="0" borderId="0" xfId="27" applyFont="1" applyAlignment="1">
      <alignment vertical="top" wrapText="1"/>
    </xf>
    <xf numFmtId="0" fontId="40" fillId="0" borderId="0" xfId="27" applyFont="1" applyAlignment="1">
      <alignment vertical="top" wrapText="1"/>
    </xf>
    <xf numFmtId="0" fontId="41" fillId="0" borderId="0" xfId="0" applyFont="1" applyAlignment="1">
      <alignment vertical="top" wrapText="1"/>
    </xf>
    <xf numFmtId="0" fontId="8" fillId="0" borderId="0" xfId="0" applyFont="1" applyAlignment="1">
      <alignment vertical="top" wrapText="1"/>
    </xf>
    <xf numFmtId="4" fontId="29" fillId="0" borderId="0" xfId="0" applyNumberFormat="1" applyFont="1" applyAlignment="1">
      <alignment horizontal="right"/>
    </xf>
    <xf numFmtId="0" fontId="38" fillId="0" borderId="0" xfId="19" applyFont="1" applyAlignment="1">
      <alignment vertical="top" wrapText="1"/>
    </xf>
    <xf numFmtId="0" fontId="35" fillId="0" borderId="0" xfId="19" applyFont="1" applyAlignment="1">
      <alignment vertical="top" wrapText="1"/>
    </xf>
    <xf numFmtId="1" fontId="29" fillId="0" borderId="0" xfId="19" applyNumberFormat="1" applyFont="1" applyAlignment="1">
      <alignment horizontal="right"/>
    </xf>
    <xf numFmtId="0" fontId="3" fillId="0" borderId="1" xfId="19" applyBorder="1" applyAlignment="1">
      <alignment horizontal="center"/>
    </xf>
    <xf numFmtId="2" fontId="29" fillId="0" borderId="0" xfId="0" applyNumberFormat="1" applyFont="1" applyAlignment="1">
      <alignment horizontal="left" vertical="top" wrapText="1"/>
    </xf>
    <xf numFmtId="0" fontId="29" fillId="0" borderId="0" xfId="0" applyFont="1" applyAlignment="1">
      <alignment horizontal="center" vertical="top" wrapText="1"/>
    </xf>
    <xf numFmtId="4" fontId="29" fillId="0" borderId="0" xfId="0" applyNumberFormat="1" applyFont="1" applyAlignment="1">
      <alignment horizontal="center"/>
    </xf>
    <xf numFmtId="0" fontId="3" fillId="0" borderId="0" xfId="0" applyFont="1" applyAlignment="1">
      <alignment horizontal="center" vertical="top" wrapText="1"/>
    </xf>
    <xf numFmtId="0" fontId="4" fillId="0" borderId="0" xfId="0" applyFont="1" applyAlignment="1">
      <alignment horizontal="center" wrapText="1"/>
    </xf>
    <xf numFmtId="2" fontId="4" fillId="0" borderId="0" xfId="0" applyNumberFormat="1" applyFont="1" applyAlignment="1">
      <alignment horizontal="justify" vertical="top" wrapText="1"/>
    </xf>
    <xf numFmtId="0" fontId="29" fillId="0" borderId="0" xfId="0" applyFont="1" applyAlignment="1">
      <alignment horizontal="center" wrapText="1"/>
    </xf>
    <xf numFmtId="0" fontId="38" fillId="0" borderId="0" xfId="19" applyFont="1" applyAlignment="1">
      <alignment horizontal="center" vertical="top" wrapText="1"/>
    </xf>
    <xf numFmtId="2" fontId="3" fillId="0" borderId="0" xfId="0" applyNumberFormat="1" applyFont="1"/>
    <xf numFmtId="0" fontId="30" fillId="0" borderId="0" xfId="0" applyFont="1" applyAlignment="1">
      <alignment vertical="top" wrapText="1"/>
    </xf>
    <xf numFmtId="0" fontId="7" fillId="0" borderId="0" xfId="0" applyFont="1" applyAlignment="1">
      <alignment horizontal="center" wrapText="1"/>
    </xf>
    <xf numFmtId="4" fontId="4" fillId="0" borderId="0" xfId="0" applyNumberFormat="1" applyFont="1" applyAlignment="1">
      <alignment horizontal="justify" vertical="top" wrapText="1"/>
    </xf>
    <xf numFmtId="0" fontId="15" fillId="0" borderId="0" xfId="0" applyFont="1"/>
    <xf numFmtId="0" fontId="32" fillId="0" borderId="0" xfId="0" applyFont="1" applyAlignment="1">
      <alignment horizontal="center"/>
    </xf>
    <xf numFmtId="2" fontId="32" fillId="0" borderId="0" xfId="0" applyNumberFormat="1" applyFont="1" applyAlignment="1">
      <alignment horizontal="right"/>
    </xf>
    <xf numFmtId="0" fontId="29" fillId="0" borderId="0" xfId="0" applyFont="1" applyAlignment="1">
      <alignment horizontal="justify" vertical="top"/>
    </xf>
    <xf numFmtId="0" fontId="30" fillId="0" borderId="0" xfId="19" applyFont="1" applyAlignment="1">
      <alignment vertical="top" wrapText="1"/>
    </xf>
    <xf numFmtId="0" fontId="15" fillId="0" borderId="0" xfId="19" applyFont="1" applyAlignment="1">
      <alignment vertical="top" wrapText="1"/>
    </xf>
    <xf numFmtId="2" fontId="3" fillId="0" borderId="0" xfId="19" applyNumberFormat="1" applyAlignment="1">
      <alignment vertical="top" wrapText="1"/>
    </xf>
    <xf numFmtId="4" fontId="3" fillId="0" borderId="0" xfId="0" applyNumberFormat="1" applyFont="1" applyAlignment="1">
      <alignment horizontal="center"/>
    </xf>
    <xf numFmtId="0" fontId="4" fillId="0" borderId="0" xfId="0" applyFont="1" applyAlignment="1">
      <alignment horizontal="center" vertical="top" wrapText="1"/>
    </xf>
    <xf numFmtId="0" fontId="38" fillId="0" borderId="0" xfId="0" applyFont="1" applyAlignment="1">
      <alignment vertical="top" wrapText="1"/>
    </xf>
    <xf numFmtId="0" fontId="38" fillId="0" borderId="0" xfId="0" applyFont="1" applyAlignment="1">
      <alignment horizontal="left" vertical="top" wrapText="1"/>
    </xf>
    <xf numFmtId="0" fontId="30" fillId="0" borderId="0" xfId="0" applyFont="1" applyAlignment="1">
      <alignment horizontal="center" vertical="top" wrapText="1"/>
    </xf>
    <xf numFmtId="0" fontId="7" fillId="0" borderId="0" xfId="30" applyAlignment="1">
      <alignment vertical="top" wrapText="1"/>
    </xf>
    <xf numFmtId="0" fontId="31" fillId="0" borderId="1" xfId="19" applyFont="1" applyBorder="1" applyAlignment="1">
      <alignment vertical="top" wrapText="1"/>
    </xf>
    <xf numFmtId="0" fontId="8" fillId="0" borderId="0" xfId="19" applyFont="1" applyAlignment="1">
      <alignment vertical="top" wrapText="1"/>
    </xf>
    <xf numFmtId="0" fontId="31" fillId="0" borderId="0" xfId="19" applyFont="1" applyAlignment="1">
      <alignment vertical="top" wrapText="1"/>
    </xf>
    <xf numFmtId="0" fontId="31" fillId="0" borderId="0" xfId="0" applyFont="1" applyAlignment="1">
      <alignment vertical="top" wrapText="1"/>
    </xf>
    <xf numFmtId="0" fontId="29" fillId="0" borderId="1" xfId="19" applyFont="1" applyBorder="1" applyAlignment="1">
      <alignment vertical="top" wrapText="1"/>
    </xf>
    <xf numFmtId="0" fontId="7" fillId="0" borderId="0" xfId="0" applyFont="1" applyAlignment="1">
      <alignment horizontal="right" vertical="top" wrapText="1"/>
    </xf>
    <xf numFmtId="2" fontId="3" fillId="0" borderId="0" xfId="0" applyNumberFormat="1" applyFont="1" applyAlignment="1">
      <alignment horizontal="left" vertical="top" wrapText="1"/>
    </xf>
    <xf numFmtId="4" fontId="7" fillId="0" borderId="0" xfId="0" applyNumberFormat="1" applyFont="1" applyAlignment="1">
      <alignment horizontal="center"/>
    </xf>
    <xf numFmtId="0" fontId="3" fillId="0" borderId="0" xfId="0" applyFont="1" applyAlignment="1">
      <alignment vertical="top"/>
    </xf>
    <xf numFmtId="0" fontId="31" fillId="0" borderId="1" xfId="0" applyFont="1" applyBorder="1" applyAlignment="1">
      <alignment vertical="top" wrapText="1"/>
    </xf>
    <xf numFmtId="0" fontId="31" fillId="0" borderId="0" xfId="0" applyFont="1" applyAlignment="1">
      <alignment wrapText="1"/>
    </xf>
    <xf numFmtId="0" fontId="3" fillId="0" borderId="1" xfId="13" applyBorder="1" applyAlignment="1">
      <alignment horizontal="center" vertical="top" wrapText="1"/>
    </xf>
    <xf numFmtId="0" fontId="15" fillId="0" borderId="6" xfId="13" applyFont="1" applyBorder="1" applyAlignment="1">
      <alignment horizontal="left" vertical="top" wrapText="1"/>
    </xf>
    <xf numFmtId="0" fontId="3" fillId="0" borderId="1" xfId="13" applyBorder="1" applyAlignment="1">
      <alignment horizontal="center"/>
    </xf>
    <xf numFmtId="0" fontId="3" fillId="0" borderId="0" xfId="13" applyAlignment="1">
      <alignment horizontal="center" vertical="top" wrapText="1"/>
    </xf>
    <xf numFmtId="0" fontId="15" fillId="0" borderId="0" xfId="13" applyFont="1" applyAlignment="1">
      <alignment horizontal="left" vertical="top" wrapText="1"/>
    </xf>
    <xf numFmtId="0" fontId="3" fillId="0" borderId="0" xfId="13" applyAlignment="1">
      <alignment horizontal="center"/>
    </xf>
    <xf numFmtId="0" fontId="15" fillId="0" borderId="6" xfId="19" applyFont="1" applyBorder="1" applyAlignment="1">
      <alignment vertical="top" wrapText="1"/>
    </xf>
    <xf numFmtId="2" fontId="29" fillId="0" borderId="0" xfId="19" applyNumberFormat="1" applyFont="1" applyAlignment="1">
      <alignment horizontal="center"/>
    </xf>
    <xf numFmtId="4" fontId="3" fillId="0" borderId="0" xfId="19" applyNumberFormat="1" applyAlignment="1">
      <alignment vertical="top"/>
    </xf>
    <xf numFmtId="4" fontId="15" fillId="0" borderId="1" xfId="19" applyNumberFormat="1" applyFont="1" applyBorder="1" applyAlignment="1">
      <alignment vertical="top"/>
    </xf>
    <xf numFmtId="0" fontId="43" fillId="0" borderId="0" xfId="0" applyFont="1" applyAlignment="1">
      <alignment horizontal="right" vertical="top"/>
    </xf>
    <xf numFmtId="0" fontId="44" fillId="0" borderId="0" xfId="0" applyFont="1" applyAlignment="1">
      <alignment horizontal="right" vertical="top"/>
    </xf>
    <xf numFmtId="166" fontId="45" fillId="0" borderId="0" xfId="0" applyNumberFormat="1" applyFont="1" applyAlignment="1">
      <alignment horizontal="right"/>
    </xf>
    <xf numFmtId="0" fontId="29" fillId="0" borderId="0" xfId="15" applyFont="1" applyAlignment="1">
      <alignment horizontal="left" vertical="top" wrapText="1"/>
    </xf>
    <xf numFmtId="0" fontId="7" fillId="0" borderId="0" xfId="19" quotePrefix="1" applyFont="1" applyAlignment="1">
      <alignment vertical="top" wrapText="1"/>
    </xf>
    <xf numFmtId="0" fontId="15" fillId="0" borderId="0" xfId="19" applyFont="1" applyAlignment="1">
      <alignment horizontal="center" vertical="top"/>
    </xf>
    <xf numFmtId="0" fontId="15" fillId="0" borderId="1" xfId="19" applyFont="1" applyBorder="1" applyAlignment="1">
      <alignment horizontal="center"/>
    </xf>
    <xf numFmtId="4" fontId="4" fillId="0" borderId="1" xfId="19" applyNumberFormat="1" applyFont="1" applyBorder="1"/>
    <xf numFmtId="49" fontId="15" fillId="0" borderId="0" xfId="15" applyNumberFormat="1" applyFont="1" applyAlignment="1">
      <alignment horizontal="left" vertical="top" wrapText="1"/>
    </xf>
    <xf numFmtId="0" fontId="15" fillId="0" borderId="0" xfId="15" applyFont="1" applyAlignment="1">
      <alignment wrapText="1"/>
    </xf>
    <xf numFmtId="2" fontId="29" fillId="0" borderId="0" xfId="15" applyNumberFormat="1" applyFont="1" applyAlignment="1">
      <alignment horizontal="left" vertical="top" wrapText="1" shrinkToFit="1" readingOrder="1"/>
    </xf>
    <xf numFmtId="0" fontId="4" fillId="0" borderId="0" xfId="15" applyFont="1"/>
    <xf numFmtId="2" fontId="3" fillId="0" borderId="0" xfId="15" applyNumberFormat="1" applyAlignment="1">
      <alignment horizontal="left" vertical="top" wrapText="1" shrinkToFit="1" readingOrder="1"/>
    </xf>
    <xf numFmtId="49" fontId="4" fillId="0" borderId="0" xfId="15" applyNumberFormat="1" applyFont="1" applyAlignment="1">
      <alignment vertical="top"/>
    </xf>
    <xf numFmtId="2" fontId="4" fillId="0" borderId="0" xfId="15" applyNumberFormat="1" applyFont="1"/>
    <xf numFmtId="49" fontId="3" fillId="0" borderId="0" xfId="15" applyNumberFormat="1"/>
    <xf numFmtId="49" fontId="3" fillId="0" borderId="0" xfId="15" applyNumberFormat="1" applyAlignment="1">
      <alignment wrapText="1"/>
    </xf>
    <xf numFmtId="2" fontId="7" fillId="0" borderId="0" xfId="19" applyNumberFormat="1" applyFont="1" applyAlignment="1">
      <alignment horizontal="right" vertical="top"/>
    </xf>
    <xf numFmtId="0" fontId="47" fillId="0" borderId="0" xfId="15" applyFont="1"/>
    <xf numFmtId="2" fontId="3" fillId="0" borderId="0" xfId="15" applyNumberFormat="1" applyAlignment="1">
      <alignment horizontal="right" vertical="top" wrapText="1" shrinkToFit="1" readingOrder="1"/>
    </xf>
    <xf numFmtId="4" fontId="15" fillId="0" borderId="1" xfId="19" applyNumberFormat="1" applyFont="1" applyBorder="1"/>
    <xf numFmtId="2" fontId="29" fillId="0" borderId="0" xfId="19" applyNumberFormat="1" applyFont="1" applyAlignment="1">
      <alignment horizontal="right" vertical="top"/>
    </xf>
    <xf numFmtId="4" fontId="3" fillId="0" borderId="0" xfId="19" applyNumberFormat="1" applyAlignment="1">
      <alignment horizontal="right" vertical="top"/>
    </xf>
    <xf numFmtId="0" fontId="4" fillId="0" borderId="0" xfId="0" applyFont="1" applyAlignment="1">
      <alignment horizontal="left" vertical="top" wrapText="1"/>
    </xf>
    <xf numFmtId="2" fontId="3" fillId="0" borderId="0" xfId="0" applyNumberFormat="1" applyFont="1" applyAlignment="1">
      <alignment vertical="top" wrapText="1"/>
    </xf>
    <xf numFmtId="0" fontId="6" fillId="0" borderId="0" xfId="0" applyFont="1" applyAlignment="1">
      <alignment horizontal="left" vertical="top" wrapText="1"/>
    </xf>
    <xf numFmtId="0" fontId="6" fillId="0" borderId="0" xfId="0" applyFont="1" applyAlignment="1">
      <alignment horizontal="center" vertical="top" wrapText="1"/>
    </xf>
    <xf numFmtId="0" fontId="42" fillId="0" borderId="0" xfId="0" applyFont="1" applyAlignment="1">
      <alignment vertical="top" wrapText="1"/>
    </xf>
    <xf numFmtId="0" fontId="31" fillId="0" borderId="0" xfId="19" applyFont="1" applyAlignment="1">
      <alignment horizontal="left" vertical="top" wrapText="1"/>
    </xf>
    <xf numFmtId="0" fontId="3" fillId="0" borderId="0" xfId="13" applyAlignment="1">
      <alignment vertical="top" wrapText="1"/>
    </xf>
    <xf numFmtId="0" fontId="3" fillId="0" borderId="0" xfId="13" applyAlignment="1">
      <alignment horizontal="right" wrapText="1"/>
    </xf>
    <xf numFmtId="4" fontId="3" fillId="0" borderId="0" xfId="13" applyNumberFormat="1" applyAlignment="1">
      <alignment horizontal="right" wrapText="1"/>
    </xf>
    <xf numFmtId="0" fontId="3" fillId="0" borderId="0" xfId="13" applyAlignment="1">
      <alignment wrapText="1"/>
    </xf>
    <xf numFmtId="0" fontId="29" fillId="0" borderId="0" xfId="13" applyFont="1" applyAlignment="1">
      <alignment horizontal="left" vertical="top" wrapText="1"/>
    </xf>
    <xf numFmtId="0" fontId="29" fillId="0" borderId="0" xfId="13" applyFont="1" applyAlignment="1">
      <alignment vertical="top" wrapText="1"/>
    </xf>
    <xf numFmtId="0" fontId="29" fillId="0" borderId="0" xfId="13" applyFont="1" applyAlignment="1">
      <alignment horizontal="right" wrapText="1"/>
    </xf>
    <xf numFmtId="0" fontId="7" fillId="0" borderId="0" xfId="13" applyFont="1" applyAlignment="1">
      <alignment vertical="top" wrapText="1"/>
    </xf>
    <xf numFmtId="0" fontId="7" fillId="0" borderId="0" xfId="13" applyFont="1" applyAlignment="1">
      <alignment horizontal="right" wrapText="1"/>
    </xf>
    <xf numFmtId="4" fontId="7" fillId="0" borderId="0" xfId="13" applyNumberFormat="1" applyFont="1" applyAlignment="1">
      <alignment horizontal="right" wrapText="1"/>
    </xf>
    <xf numFmtId="0" fontId="7" fillId="0" borderId="0" xfId="13" applyFont="1" applyAlignment="1">
      <alignment horizontal="left" vertical="top" wrapText="1"/>
    </xf>
    <xf numFmtId="0" fontId="7" fillId="0" borderId="0" xfId="13" quotePrefix="1" applyFont="1" applyAlignment="1">
      <alignment horizontal="left" vertical="top" wrapText="1"/>
    </xf>
    <xf numFmtId="4" fontId="15" fillId="0" borderId="0" xfId="19" applyNumberFormat="1" applyFont="1"/>
    <xf numFmtId="0" fontId="3" fillId="0" borderId="0" xfId="15" applyAlignment="1">
      <alignment horizontal="right"/>
    </xf>
    <xf numFmtId="0" fontId="3" fillId="0" borderId="0" xfId="13" applyAlignment="1">
      <alignment horizontal="left" vertical="top" wrapText="1"/>
    </xf>
    <xf numFmtId="0" fontId="3" fillId="0" borderId="0" xfId="13" applyAlignment="1">
      <alignment horizontal="right" vertical="top" wrapText="1"/>
    </xf>
    <xf numFmtId="0" fontId="29" fillId="0" borderId="0" xfId="13" applyFont="1" applyAlignment="1">
      <alignment horizontal="left" vertical="top"/>
    </xf>
    <xf numFmtId="0" fontId="29" fillId="0" borderId="0" xfId="13" applyFont="1"/>
    <xf numFmtId="0" fontId="29" fillId="0" borderId="0" xfId="13" applyFont="1" applyAlignment="1">
      <alignment horizontal="center"/>
    </xf>
    <xf numFmtId="4" fontId="3" fillId="12" borderId="0" xfId="15" applyNumberFormat="1" applyFill="1" applyAlignment="1" applyProtection="1">
      <alignment vertical="top"/>
      <protection locked="0"/>
    </xf>
    <xf numFmtId="4" fontId="3" fillId="12" borderId="0" xfId="0" applyNumberFormat="1" applyFont="1" applyFill="1" applyProtection="1">
      <protection locked="0"/>
    </xf>
    <xf numFmtId="4" fontId="3" fillId="12" borderId="0" xfId="19" applyNumberFormat="1" applyFill="1" applyProtection="1">
      <protection locked="0"/>
    </xf>
    <xf numFmtId="4" fontId="3" fillId="12" borderId="0" xfId="0" applyNumberFormat="1" applyFont="1" applyFill="1" applyAlignment="1" applyProtection="1">
      <alignment horizontal="right"/>
      <protection locked="0"/>
    </xf>
    <xf numFmtId="4" fontId="3" fillId="0" borderId="0" xfId="13" applyNumberFormat="1" applyAlignment="1">
      <alignment vertical="top" wrapText="1"/>
    </xf>
    <xf numFmtId="4" fontId="7" fillId="0" borderId="0" xfId="15" applyNumberFormat="1" applyFont="1" applyAlignment="1">
      <alignment horizontal="right"/>
    </xf>
    <xf numFmtId="4" fontId="3" fillId="0" borderId="0" xfId="13" applyNumberFormat="1" applyAlignment="1">
      <alignment wrapText="1"/>
    </xf>
    <xf numFmtId="4" fontId="7" fillId="0" borderId="0" xfId="15" applyNumberFormat="1" applyFont="1" applyAlignment="1">
      <alignment horizontal="right" vertical="top"/>
    </xf>
    <xf numFmtId="4" fontId="32" fillId="0" borderId="0" xfId="15" applyNumberFormat="1" applyFont="1" applyAlignment="1">
      <alignment horizontal="right" vertical="top"/>
    </xf>
    <xf numFmtId="4" fontId="29" fillId="0" borderId="0" xfId="15" applyNumberFormat="1" applyFont="1" applyAlignment="1">
      <alignment horizontal="right"/>
    </xf>
    <xf numFmtId="4" fontId="3" fillId="12" borderId="0" xfId="19" applyNumberFormat="1" applyFill="1" applyAlignment="1" applyProtection="1">
      <alignment horizontal="right"/>
      <protection locked="0"/>
    </xf>
    <xf numFmtId="4" fontId="7" fillId="0" borderId="0" xfId="19" applyNumberFormat="1" applyFont="1" applyAlignment="1">
      <alignment horizontal="right"/>
    </xf>
    <xf numFmtId="4" fontId="29" fillId="0" borderId="1" xfId="19" applyNumberFormat="1" applyFont="1" applyBorder="1" applyAlignment="1">
      <alignment horizontal="right"/>
    </xf>
    <xf numFmtId="4" fontId="7" fillId="0" borderId="1" xfId="19" applyNumberFormat="1" applyFont="1" applyBorder="1" applyAlignment="1">
      <alignment horizontal="right"/>
    </xf>
    <xf numFmtId="4" fontId="29" fillId="0" borderId="0" xfId="27" applyNumberFormat="1" applyFont="1" applyAlignment="1">
      <alignment horizontal="right"/>
    </xf>
    <xf numFmtId="4" fontId="3" fillId="0" borderId="0" xfId="27" applyNumberFormat="1" applyAlignment="1">
      <alignment horizontal="right" vertical="top"/>
    </xf>
    <xf numFmtId="4" fontId="29" fillId="0" borderId="0" xfId="27" applyNumberFormat="1" applyFont="1"/>
    <xf numFmtId="4" fontId="29" fillId="0" borderId="0" xfId="0" applyNumberFormat="1" applyFont="1" applyAlignment="1">
      <alignment vertical="top" wrapText="1"/>
    </xf>
    <xf numFmtId="0" fontId="29" fillId="0" borderId="0" xfId="19" applyFont="1" applyAlignment="1">
      <alignment horizontal="right"/>
    </xf>
    <xf numFmtId="4" fontId="4" fillId="0" borderId="0" xfId="0" applyNumberFormat="1" applyFont="1" applyAlignment="1">
      <alignment horizontal="right" wrapText="1"/>
    </xf>
    <xf numFmtId="4" fontId="30" fillId="0" borderId="0" xfId="0" applyNumberFormat="1" applyFont="1" applyAlignment="1">
      <alignment horizontal="right" wrapText="1"/>
    </xf>
    <xf numFmtId="4" fontId="7" fillId="12" borderId="0" xfId="0" applyNumberFormat="1" applyFont="1" applyFill="1" applyAlignment="1" applyProtection="1">
      <alignment horizontal="right" wrapText="1"/>
      <protection locked="0"/>
    </xf>
    <xf numFmtId="4" fontId="30" fillId="0" borderId="0" xfId="0" applyNumberFormat="1" applyFont="1" applyAlignment="1">
      <alignment horizontal="justify" vertical="top" wrapText="1"/>
    </xf>
    <xf numFmtId="4" fontId="7" fillId="0" borderId="1" xfId="19" applyNumberFormat="1" applyFont="1" applyBorder="1"/>
    <xf numFmtId="4" fontId="15" fillId="0" borderId="0" xfId="0" applyNumberFormat="1" applyFont="1" applyAlignment="1">
      <alignment horizontal="justify" vertical="top" wrapText="1"/>
    </xf>
    <xf numFmtId="4" fontId="3" fillId="0" borderId="0" xfId="0" applyNumberFormat="1" applyFont="1" applyAlignment="1">
      <alignment horizontal="right" vertical="top" wrapText="1"/>
    </xf>
    <xf numFmtId="4" fontId="3" fillId="12" borderId="0" xfId="0" applyNumberFormat="1" applyFont="1" applyFill="1" applyAlignment="1" applyProtection="1">
      <alignment horizontal="right" vertical="top" wrapText="1"/>
      <protection locked="0"/>
    </xf>
    <xf numFmtId="4" fontId="3" fillId="0" borderId="1" xfId="19" applyNumberFormat="1" applyBorder="1" applyAlignment="1">
      <alignment horizontal="right"/>
    </xf>
    <xf numFmtId="4" fontId="3" fillId="0" borderId="1" xfId="13" applyNumberFormat="1" applyBorder="1" applyAlignment="1">
      <alignment horizontal="right"/>
    </xf>
    <xf numFmtId="4" fontId="15" fillId="0" borderId="6" xfId="13" applyNumberFormat="1" applyFont="1" applyBorder="1" applyAlignment="1">
      <alignment horizontal="right"/>
    </xf>
    <xf numFmtId="4" fontId="3" fillId="0" borderId="0" xfId="13" applyNumberFormat="1" applyAlignment="1">
      <alignment horizontal="right"/>
    </xf>
    <xf numFmtId="4" fontId="47" fillId="0" borderId="0" xfId="13" applyNumberFormat="1" applyFont="1" applyAlignment="1">
      <alignment horizontal="right"/>
    </xf>
    <xf numFmtId="4" fontId="3" fillId="0" borderId="0" xfId="13" applyNumberFormat="1" applyAlignment="1">
      <alignment horizontal="center"/>
    </xf>
    <xf numFmtId="4" fontId="3" fillId="0" borderId="0" xfId="13" applyNumberFormat="1"/>
    <xf numFmtId="4" fontId="47" fillId="0" borderId="0" xfId="13" applyNumberFormat="1" applyFont="1"/>
    <xf numFmtId="4" fontId="3" fillId="0" borderId="0" xfId="0" applyNumberFormat="1" applyFont="1" applyAlignment="1">
      <alignment horizontal="right" vertical="top"/>
    </xf>
    <xf numFmtId="4" fontId="3" fillId="0" borderId="0" xfId="13" applyNumberFormat="1" applyAlignment="1">
      <alignment horizontal="right" vertical="top" wrapText="1"/>
    </xf>
    <xf numFmtId="0" fontId="7" fillId="0" borderId="1" xfId="19" applyFont="1" applyBorder="1" applyAlignment="1">
      <alignment horizontal="right"/>
    </xf>
    <xf numFmtId="4" fontId="15" fillId="0" borderId="1" xfId="19" applyNumberFormat="1" applyFont="1" applyBorder="1" applyAlignment="1">
      <alignment horizontal="right" vertical="top"/>
    </xf>
    <xf numFmtId="4" fontId="15" fillId="0" borderId="1" xfId="19" applyNumberFormat="1" applyFont="1" applyBorder="1" applyAlignment="1">
      <alignment horizontal="right"/>
    </xf>
    <xf numFmtId="4" fontId="3" fillId="0" borderId="0" xfId="15" applyNumberFormat="1" applyAlignment="1">
      <alignment horizontal="right" wrapText="1" shrinkToFit="1" readingOrder="1"/>
    </xf>
    <xf numFmtId="4" fontId="3" fillId="12" borderId="0" xfId="15" applyNumberFormat="1" applyFill="1" applyAlignment="1" applyProtection="1">
      <alignment horizontal="right" wrapText="1" shrinkToFit="1" readingOrder="1"/>
      <protection locked="0"/>
    </xf>
    <xf numFmtId="4" fontId="3" fillId="0" borderId="0" xfId="15" applyNumberFormat="1" applyAlignment="1">
      <alignment horizontal="left" vertical="top" wrapText="1" shrinkToFit="1" readingOrder="1"/>
    </xf>
    <xf numFmtId="4" fontId="3" fillId="12" borderId="0" xfId="15" applyNumberFormat="1" applyFill="1" applyAlignment="1" applyProtection="1">
      <alignment horizontal="right" vertical="top" wrapText="1" shrinkToFit="1" readingOrder="1"/>
      <protection locked="0"/>
    </xf>
    <xf numFmtId="4" fontId="3" fillId="0" borderId="0" xfId="15" applyNumberFormat="1" applyAlignment="1">
      <alignment horizontal="right" vertical="top" wrapText="1" shrinkToFit="1" readingOrder="1"/>
    </xf>
    <xf numFmtId="4" fontId="29" fillId="0" borderId="0" xfId="19" applyNumberFormat="1" applyFont="1" applyAlignment="1">
      <alignment horizontal="right" vertical="top" wrapText="1"/>
    </xf>
    <xf numFmtId="4" fontId="3" fillId="0" borderId="0" xfId="19" applyNumberFormat="1" applyAlignment="1">
      <alignment horizontal="right" vertical="top" wrapText="1"/>
    </xf>
    <xf numFmtId="4" fontId="3" fillId="12" borderId="0" xfId="19" applyNumberFormat="1" applyFill="1" applyAlignment="1" applyProtection="1">
      <alignment horizontal="right" vertical="top"/>
      <protection locked="0"/>
    </xf>
    <xf numFmtId="4" fontId="3" fillId="0" borderId="1" xfId="19" applyNumberFormat="1" applyBorder="1" applyAlignment="1">
      <alignment horizontal="right" vertical="top"/>
    </xf>
    <xf numFmtId="4" fontId="29" fillId="0" borderId="0" xfId="0" applyNumberFormat="1" applyFont="1" applyAlignment="1">
      <alignment horizontal="right" vertical="top"/>
    </xf>
    <xf numFmtId="4" fontId="7" fillId="0" borderId="1" xfId="19" applyNumberFormat="1" applyFont="1" applyBorder="1" applyAlignment="1">
      <alignment horizontal="right" vertical="top"/>
    </xf>
    <xf numFmtId="4" fontId="32" fillId="0" borderId="0" xfId="0" applyNumberFormat="1" applyFont="1"/>
    <xf numFmtId="0" fontId="29" fillId="0" borderId="0" xfId="19" applyFont="1" applyAlignment="1">
      <alignment vertical="top"/>
    </xf>
    <xf numFmtId="4" fontId="3" fillId="12" borderId="0" xfId="19" applyNumberFormat="1" applyFill="1" applyAlignment="1" applyProtection="1">
      <alignment vertical="top"/>
      <protection locked="0"/>
    </xf>
    <xf numFmtId="4" fontId="3" fillId="0" borderId="1" xfId="19" applyNumberFormat="1" applyBorder="1" applyAlignment="1">
      <alignment vertical="top"/>
    </xf>
    <xf numFmtId="4" fontId="29" fillId="0" borderId="0" xfId="13" applyNumberFormat="1" applyFont="1" applyAlignment="1">
      <alignment horizontal="right" vertical="top" wrapText="1"/>
    </xf>
    <xf numFmtId="4" fontId="7" fillId="0" borderId="0" xfId="13" applyNumberFormat="1" applyFont="1" applyAlignment="1">
      <alignment horizontal="right" vertical="top" wrapText="1"/>
    </xf>
    <xf numFmtId="4" fontId="3" fillId="0" borderId="1" xfId="13" applyNumberFormat="1" applyBorder="1" applyAlignment="1">
      <alignment horizontal="center" vertical="top"/>
    </xf>
    <xf numFmtId="4" fontId="3" fillId="0" borderId="1" xfId="13" applyNumberFormat="1" applyBorder="1" applyAlignment="1">
      <alignment vertical="top"/>
    </xf>
    <xf numFmtId="4" fontId="15" fillId="0" borderId="6" xfId="13" applyNumberFormat="1" applyFont="1" applyBorder="1" applyAlignment="1">
      <alignment vertical="top"/>
    </xf>
    <xf numFmtId="4" fontId="3" fillId="0" borderId="0" xfId="13" applyNumberFormat="1" applyAlignment="1">
      <alignment horizontal="center" vertical="top"/>
    </xf>
    <xf numFmtId="4" fontId="3" fillId="0" borderId="0" xfId="13" applyNumberFormat="1" applyAlignment="1">
      <alignment vertical="top"/>
    </xf>
    <xf numFmtId="4" fontId="15" fillId="0" borderId="0" xfId="13" applyNumberFormat="1" applyFont="1" applyAlignment="1">
      <alignment vertical="top"/>
    </xf>
    <xf numFmtId="0" fontId="29" fillId="0" borderId="0" xfId="0" applyFont="1" applyAlignment="1">
      <alignment vertical="top"/>
    </xf>
    <xf numFmtId="4" fontId="15" fillId="0" borderId="0" xfId="19" applyNumberFormat="1" applyFont="1" applyAlignment="1">
      <alignment horizontal="right" vertical="top"/>
    </xf>
    <xf numFmtId="4" fontId="3" fillId="0" borderId="0" xfId="15" applyNumberFormat="1" applyAlignment="1">
      <alignment horizontal="right" vertical="top"/>
    </xf>
    <xf numFmtId="4" fontId="3" fillId="12" borderId="0" xfId="15" applyNumberFormat="1" applyFill="1" applyAlignment="1" applyProtection="1">
      <alignment horizontal="right" vertical="top"/>
      <protection locked="0"/>
    </xf>
    <xf numFmtId="4" fontId="3" fillId="12" borderId="0" xfId="13" applyNumberFormat="1" applyFill="1" applyAlignment="1" applyProtection="1">
      <alignment horizontal="right" vertical="top" wrapText="1"/>
      <protection locked="0"/>
    </xf>
    <xf numFmtId="0" fontId="7" fillId="0" borderId="0" xfId="13" applyFont="1" applyAlignment="1">
      <alignment horizontal="center" vertical="top" wrapText="1"/>
    </xf>
    <xf numFmtId="0" fontId="29" fillId="0" borderId="0" xfId="13" applyFont="1" applyAlignment="1">
      <alignment horizontal="center" vertical="top" wrapText="1"/>
    </xf>
    <xf numFmtId="0" fontId="3" fillId="0" borderId="1" xfId="19" applyBorder="1" applyAlignment="1">
      <alignment horizontal="center" vertical="top"/>
    </xf>
    <xf numFmtId="0" fontId="36" fillId="0" borderId="0" xfId="13" applyFont="1" applyAlignment="1">
      <alignment horizontal="center" vertical="top" wrapText="1"/>
    </xf>
    <xf numFmtId="4" fontId="3" fillId="0" borderId="0" xfId="0" applyNumberFormat="1" applyFont="1" applyAlignment="1">
      <alignment vertical="top"/>
    </xf>
    <xf numFmtId="4" fontId="3" fillId="12" borderId="0" xfId="0" applyNumberFormat="1" applyFont="1" applyFill="1" applyAlignment="1" applyProtection="1">
      <alignment vertical="top"/>
      <protection locked="0"/>
    </xf>
    <xf numFmtId="4" fontId="3" fillId="12" borderId="0" xfId="0" applyNumberFormat="1" applyFont="1" applyFill="1" applyAlignment="1" applyProtection="1">
      <alignment horizontal="right" vertical="top"/>
      <protection locked="0"/>
    </xf>
    <xf numFmtId="4" fontId="29" fillId="0" borderId="0" xfId="13" applyNumberFormat="1" applyFont="1" applyAlignment="1">
      <alignment horizontal="right" vertical="top"/>
    </xf>
    <xf numFmtId="4" fontId="3" fillId="0" borderId="0" xfId="13" applyNumberFormat="1" applyAlignment="1">
      <alignment horizontal="right" vertical="top"/>
    </xf>
    <xf numFmtId="4" fontId="3" fillId="0" borderId="1" xfId="13" applyNumberFormat="1" applyBorder="1" applyAlignment="1">
      <alignment horizontal="right" vertical="top"/>
    </xf>
    <xf numFmtId="4" fontId="15" fillId="0" borderId="6" xfId="13" applyNumberFormat="1" applyFont="1" applyBorder="1" applyAlignment="1">
      <alignment horizontal="right" vertical="top"/>
    </xf>
    <xf numFmtId="4" fontId="4" fillId="0" borderId="4" xfId="15" applyNumberFormat="1" applyFont="1" applyBorder="1" applyAlignment="1">
      <alignment horizontal="right"/>
    </xf>
    <xf numFmtId="0" fontId="3" fillId="0" borderId="1" xfId="0" applyFont="1" applyBorder="1" applyAlignment="1">
      <alignment horizontal="center" vertical="top"/>
    </xf>
    <xf numFmtId="4" fontId="3" fillId="0" borderId="1" xfId="0" applyNumberFormat="1" applyFont="1" applyBorder="1" applyAlignment="1">
      <alignment horizontal="right" vertical="top"/>
    </xf>
    <xf numFmtId="4" fontId="3" fillId="0" borderId="1" xfId="0" applyNumberFormat="1" applyFont="1" applyBorder="1" applyAlignment="1">
      <alignment vertical="top"/>
    </xf>
    <xf numFmtId="4" fontId="29" fillId="0" borderId="0" xfId="15" applyNumberFormat="1" applyFont="1" applyAlignment="1">
      <alignment horizontal="right" vertical="top"/>
    </xf>
    <xf numFmtId="4" fontId="3" fillId="0" borderId="0" xfId="19" applyNumberFormat="1" applyAlignment="1">
      <alignment horizontal="center" vertical="top"/>
    </xf>
    <xf numFmtId="4" fontId="4" fillId="0" borderId="0" xfId="0" applyNumberFormat="1" applyFont="1" applyAlignment="1">
      <alignment horizontal="right" vertical="top" textRotation="45" wrapText="1"/>
    </xf>
    <xf numFmtId="4" fontId="7" fillId="0" borderId="0" xfId="19" applyNumberFormat="1" applyFont="1" applyAlignment="1">
      <alignment horizontal="right" vertical="top"/>
    </xf>
    <xf numFmtId="4" fontId="29" fillId="0" borderId="0" xfId="19" applyNumberFormat="1" applyFont="1" applyAlignment="1">
      <alignment horizontal="center" vertical="top"/>
    </xf>
    <xf numFmtId="4" fontId="3" fillId="0" borderId="0" xfId="27" applyNumberFormat="1" applyAlignment="1">
      <alignment vertical="top"/>
    </xf>
    <xf numFmtId="4" fontId="3" fillId="12" borderId="0" xfId="27" applyNumberFormat="1" applyFill="1" applyAlignment="1" applyProtection="1">
      <alignment vertical="top"/>
      <protection locked="0"/>
    </xf>
    <xf numFmtId="4" fontId="29" fillId="0" borderId="0" xfId="27" applyNumberFormat="1" applyFont="1" applyAlignment="1">
      <alignment horizontal="right" vertical="top"/>
    </xf>
    <xf numFmtId="4" fontId="7" fillId="0" borderId="0" xfId="27" applyNumberFormat="1" applyFont="1" applyAlignment="1">
      <alignment horizontal="right" vertical="top"/>
    </xf>
    <xf numFmtId="4" fontId="30" fillId="0" borderId="0" xfId="0" applyNumberFormat="1" applyFont="1" applyAlignment="1">
      <alignment horizontal="right" vertical="top" textRotation="45" wrapText="1"/>
    </xf>
    <xf numFmtId="4" fontId="30" fillId="0" borderId="0" xfId="0" applyNumberFormat="1" applyFont="1" applyAlignment="1">
      <alignment horizontal="center" vertical="top" textRotation="45" wrapText="1"/>
    </xf>
    <xf numFmtId="4" fontId="4" fillId="0" borderId="0" xfId="0" applyNumberFormat="1" applyFont="1" applyAlignment="1">
      <alignment horizontal="center" vertical="top" textRotation="45" wrapText="1"/>
    </xf>
    <xf numFmtId="4" fontId="29" fillId="0" borderId="0" xfId="0" applyNumberFormat="1" applyFont="1" applyAlignment="1">
      <alignment vertical="top"/>
    </xf>
    <xf numFmtId="1" fontId="3" fillId="0" borderId="0" xfId="19" applyNumberFormat="1" applyAlignment="1">
      <alignment horizontal="right" vertical="top"/>
    </xf>
    <xf numFmtId="4" fontId="29" fillId="0" borderId="0" xfId="19" applyNumberFormat="1" applyFont="1" applyAlignment="1">
      <alignment vertical="top"/>
    </xf>
    <xf numFmtId="4" fontId="3" fillId="0" borderId="0" xfId="0" applyNumberFormat="1" applyFont="1" applyAlignment="1">
      <alignment horizontal="center" vertical="top"/>
    </xf>
    <xf numFmtId="0" fontId="29" fillId="0" borderId="1" xfId="19" applyFont="1" applyBorder="1" applyAlignment="1">
      <alignment horizontal="center" vertical="top"/>
    </xf>
    <xf numFmtId="4" fontId="29" fillId="0" borderId="1" xfId="19" applyNumberFormat="1" applyFont="1" applyBorder="1" applyAlignment="1">
      <alignment vertical="top"/>
    </xf>
    <xf numFmtId="4" fontId="7" fillId="0" borderId="0" xfId="0" applyNumberFormat="1" applyFont="1" applyAlignment="1">
      <alignment horizontal="right" vertical="top"/>
    </xf>
    <xf numFmtId="0" fontId="7" fillId="0" borderId="5" xfId="0" applyFont="1" applyBorder="1" applyAlignment="1">
      <alignment horizontal="center" vertical="top"/>
    </xf>
    <xf numFmtId="0" fontId="29" fillId="0" borderId="0" xfId="15" applyFont="1" applyAlignment="1">
      <alignment vertical="top"/>
    </xf>
    <xf numFmtId="4" fontId="29" fillId="0" borderId="0" xfId="15" applyNumberFormat="1" applyFont="1" applyAlignment="1">
      <alignment vertical="top"/>
    </xf>
    <xf numFmtId="2" fontId="3" fillId="0" borderId="0" xfId="15" applyNumberFormat="1" applyAlignment="1">
      <alignment horizontal="center" vertical="top" wrapText="1" shrinkToFit="1" readingOrder="1"/>
    </xf>
    <xf numFmtId="49" fontId="10" fillId="0" borderId="0" xfId="30" applyNumberFormat="1" applyFont="1" applyAlignment="1">
      <alignment vertical="top" wrapText="1"/>
    </xf>
    <xf numFmtId="0" fontId="10" fillId="0" borderId="0" xfId="30" applyFont="1" applyAlignment="1">
      <alignment horizontal="right" vertical="center"/>
    </xf>
    <xf numFmtId="4" fontId="10" fillId="0" borderId="0" xfId="30" applyNumberFormat="1" applyFont="1" applyAlignment="1">
      <alignment horizontal="right" vertical="center"/>
    </xf>
    <xf numFmtId="4" fontId="10" fillId="0" borderId="0" xfId="30" applyNumberFormat="1" applyFont="1" applyAlignment="1">
      <alignment horizontal="right"/>
    </xf>
    <xf numFmtId="0" fontId="102" fillId="0" borderId="0" xfId="61" applyFont="1" applyAlignment="1">
      <alignment horizontal="right" vertical="center"/>
    </xf>
    <xf numFmtId="0" fontId="104" fillId="0" borderId="0" xfId="61" applyFont="1" applyAlignment="1">
      <alignment horizontal="left" vertical="center"/>
    </xf>
    <xf numFmtId="0" fontId="102" fillId="0" borderId="0" xfId="61" applyFont="1" applyAlignment="1">
      <alignment horizontal="left" vertical="center"/>
    </xf>
    <xf numFmtId="0" fontId="104" fillId="0" borderId="0" xfId="61" applyFont="1" applyAlignment="1">
      <alignment horizontal="right"/>
    </xf>
    <xf numFmtId="49" fontId="10" fillId="0" borderId="0" xfId="30" applyNumberFormat="1" applyFont="1" applyAlignment="1">
      <alignment horizontal="right" vertical="center" wrapText="1"/>
    </xf>
    <xf numFmtId="0" fontId="10" fillId="0" borderId="0" xfId="30" applyFont="1" applyAlignment="1">
      <alignment horizontal="left" vertical="center"/>
    </xf>
    <xf numFmtId="4" fontId="10" fillId="0" borderId="0" xfId="30" applyNumberFormat="1" applyFont="1" applyAlignment="1">
      <alignment horizontal="left" vertical="center"/>
    </xf>
    <xf numFmtId="0" fontId="104" fillId="0" borderId="0" xfId="30" applyFont="1" applyAlignment="1">
      <alignment horizontal="left" vertical="center"/>
    </xf>
    <xf numFmtId="0" fontId="104" fillId="0" borderId="0" xfId="30" applyFont="1" applyAlignment="1">
      <alignment vertical="center"/>
    </xf>
    <xf numFmtId="49" fontId="104" fillId="0" borderId="0" xfId="61" applyNumberFormat="1" applyFont="1" applyAlignment="1">
      <alignment horizontal="right"/>
    </xf>
    <xf numFmtId="0" fontId="102" fillId="0" borderId="0" xfId="61" applyFont="1"/>
    <xf numFmtId="0" fontId="106" fillId="0" borderId="0" xfId="61" applyFont="1" applyAlignment="1">
      <alignment vertical="center"/>
    </xf>
    <xf numFmtId="49" fontId="107" fillId="13" borderId="0" xfId="61" applyNumberFormat="1" applyFont="1" applyFill="1" applyAlignment="1">
      <alignment horizontal="left" vertical="top" wrapText="1"/>
    </xf>
    <xf numFmtId="3" fontId="109" fillId="13" borderId="0" xfId="30" applyNumberFormat="1" applyFont="1" applyFill="1" applyAlignment="1">
      <alignment horizontal="center" vertical="center"/>
    </xf>
    <xf numFmtId="4" fontId="109" fillId="13" borderId="0" xfId="30" applyNumberFormat="1" applyFont="1" applyFill="1" applyAlignment="1">
      <alignment horizontal="center" vertical="center"/>
    </xf>
    <xf numFmtId="4" fontId="109" fillId="13" borderId="0" xfId="30" applyNumberFormat="1" applyFont="1" applyFill="1" applyAlignment="1">
      <alignment horizontal="center"/>
    </xf>
    <xf numFmtId="0" fontId="107" fillId="0" borderId="0" xfId="61" applyFont="1"/>
    <xf numFmtId="49" fontId="107" fillId="0" borderId="0" xfId="61" applyNumberFormat="1" applyFont="1" applyAlignment="1">
      <alignment horizontal="left" vertical="top" wrapText="1"/>
    </xf>
    <xf numFmtId="3" fontId="109" fillId="0" borderId="0" xfId="30" applyNumberFormat="1" applyFont="1" applyAlignment="1">
      <alignment horizontal="center" vertical="center"/>
    </xf>
    <xf numFmtId="4" fontId="109" fillId="0" borderId="0" xfId="30" applyNumberFormat="1" applyFont="1" applyAlignment="1">
      <alignment horizontal="center" vertical="center"/>
    </xf>
    <xf numFmtId="4" fontId="109" fillId="0" borderId="0" xfId="30" applyNumberFormat="1" applyFont="1" applyAlignment="1">
      <alignment horizontal="center"/>
    </xf>
    <xf numFmtId="49" fontId="108" fillId="0" borderId="0" xfId="61" applyNumberFormat="1" applyFont="1" applyAlignment="1">
      <alignment horizontal="right" vertical="top" wrapText="1"/>
    </xf>
    <xf numFmtId="0" fontId="107" fillId="0" borderId="0" xfId="30" applyFont="1" applyAlignment="1">
      <alignment horizontal="justify" vertical="top" wrapText="1"/>
    </xf>
    <xf numFmtId="0" fontId="107" fillId="0" borderId="0" xfId="61" applyFont="1" applyAlignment="1">
      <alignment horizontal="justify"/>
    </xf>
    <xf numFmtId="0" fontId="107" fillId="0" borderId="0" xfId="30" applyFont="1" applyAlignment="1">
      <alignment horizontal="justify" vertical="top"/>
    </xf>
    <xf numFmtId="0" fontId="107" fillId="0" borderId="0" xfId="30" applyFont="1" applyAlignment="1">
      <alignment horizontal="center" vertical="top" wrapText="1"/>
    </xf>
    <xf numFmtId="0" fontId="107" fillId="13" borderId="0" xfId="30" applyFont="1" applyFill="1" applyAlignment="1">
      <alignment horizontal="center" vertical="top" wrapText="1"/>
    </xf>
    <xf numFmtId="0" fontId="107" fillId="13" borderId="0" xfId="30" applyFont="1" applyFill="1" applyAlignment="1">
      <alignment horizontal="justify" vertical="top" wrapText="1"/>
    </xf>
    <xf numFmtId="0" fontId="112" fillId="13" borderId="9" xfId="30" applyFont="1" applyFill="1" applyBorder="1" applyAlignment="1">
      <alignment horizontal="center" vertical="center"/>
    </xf>
    <xf numFmtId="0" fontId="104" fillId="13" borderId="0" xfId="30" applyFont="1" applyFill="1" applyAlignment="1">
      <alignment horizontal="left" vertical="center"/>
    </xf>
    <xf numFmtId="0" fontId="107" fillId="13" borderId="0" xfId="30" applyFont="1" applyFill="1"/>
    <xf numFmtId="0" fontId="107" fillId="13" borderId="10" xfId="30" applyFont="1" applyFill="1" applyBorder="1"/>
    <xf numFmtId="0" fontId="114" fillId="0" borderId="6" xfId="30" applyFont="1" applyBorder="1" applyAlignment="1">
      <alignment horizontal="center" vertical="center" wrapText="1"/>
    </xf>
    <xf numFmtId="0" fontId="114" fillId="0" borderId="6" xfId="30" applyFont="1" applyBorder="1" applyAlignment="1">
      <alignment vertical="center" wrapText="1"/>
    </xf>
    <xf numFmtId="0" fontId="114" fillId="0" borderId="26" xfId="30" applyFont="1" applyBorder="1" applyAlignment="1">
      <alignment horizontal="center" vertical="center" wrapText="1"/>
    </xf>
    <xf numFmtId="0" fontId="114" fillId="0" borderId="3" xfId="30" applyFont="1" applyBorder="1" applyAlignment="1">
      <alignment vertical="center" wrapText="1"/>
    </xf>
    <xf numFmtId="0" fontId="114" fillId="0" borderId="3" xfId="30" applyFont="1" applyBorder="1" applyAlignment="1">
      <alignment horizontal="center" vertical="center" wrapText="1"/>
    </xf>
    <xf numFmtId="0" fontId="114" fillId="0" borderId="27" xfId="30" applyFont="1" applyBorder="1" applyAlignment="1">
      <alignment horizontal="center" vertical="center" wrapText="1"/>
    </xf>
    <xf numFmtId="0" fontId="108" fillId="13" borderId="26" xfId="30" applyFont="1" applyFill="1" applyBorder="1" applyAlignment="1">
      <alignment horizontal="center" vertical="center"/>
    </xf>
    <xf numFmtId="0" fontId="108" fillId="13" borderId="3" xfId="30" applyFont="1" applyFill="1" applyBorder="1" applyAlignment="1">
      <alignment vertical="center"/>
    </xf>
    <xf numFmtId="0" fontId="108" fillId="13" borderId="27" xfId="30" applyFont="1" applyFill="1" applyBorder="1" applyAlignment="1">
      <alignment vertical="center"/>
    </xf>
    <xf numFmtId="0" fontId="108" fillId="0" borderId="0" xfId="30" applyFont="1" applyAlignment="1">
      <alignment horizontal="center" vertical="center"/>
    </xf>
    <xf numFmtId="0" fontId="108" fillId="0" borderId="0" xfId="30" applyFont="1" applyAlignment="1">
      <alignment vertical="center"/>
    </xf>
    <xf numFmtId="2" fontId="115" fillId="0" borderId="0" xfId="28" applyNumberFormat="1" applyFont="1" applyAlignment="1">
      <alignment horizontal="center" vertical="top"/>
    </xf>
    <xf numFmtId="0" fontId="108" fillId="0" borderId="0" xfId="75" applyFont="1" applyAlignment="1">
      <alignment horizontal="justify" vertical="top" wrapText="1"/>
    </xf>
    <xf numFmtId="0" fontId="107" fillId="0" borderId="0" xfId="30" applyFont="1" applyAlignment="1">
      <alignment horizontal="center"/>
    </xf>
    <xf numFmtId="4" fontId="107" fillId="0" borderId="0" xfId="30" applyNumberFormat="1" applyFont="1" applyAlignment="1">
      <alignment horizontal="center"/>
    </xf>
    <xf numFmtId="4" fontId="107" fillId="0" borderId="0" xfId="30" applyNumberFormat="1" applyFont="1" applyAlignment="1">
      <alignment horizontal="right"/>
    </xf>
    <xf numFmtId="0" fontId="53" fillId="0" borderId="1" xfId="61" applyFont="1" applyBorder="1" applyAlignment="1">
      <alignment horizontal="center" vertical="top" wrapText="1"/>
    </xf>
    <xf numFmtId="0" fontId="108" fillId="0" borderId="1" xfId="30" applyFont="1" applyBorder="1" applyAlignment="1">
      <alignment horizontal="left" vertical="top" wrapText="1"/>
    </xf>
    <xf numFmtId="0" fontId="107" fillId="0" borderId="1" xfId="30" applyFont="1" applyBorder="1" applyAlignment="1">
      <alignment horizontal="center"/>
    </xf>
    <xf numFmtId="4" fontId="107" fillId="0" borderId="1" xfId="30" applyNumberFormat="1" applyFont="1" applyBorder="1" applyAlignment="1">
      <alignment horizontal="center"/>
    </xf>
    <xf numFmtId="175" fontId="107" fillId="0" borderId="1" xfId="30" applyNumberFormat="1" applyFont="1" applyBorder="1" applyAlignment="1">
      <alignment horizontal="right" wrapText="1"/>
    </xf>
    <xf numFmtId="0" fontId="53" fillId="0" borderId="0" xfId="61" applyFont="1" applyAlignment="1">
      <alignment horizontal="center" vertical="top" wrapText="1"/>
    </xf>
    <xf numFmtId="0" fontId="52" fillId="0" borderId="0" xfId="30" applyFont="1" applyAlignment="1">
      <alignment horizontal="left" vertical="top" wrapText="1"/>
    </xf>
    <xf numFmtId="0" fontId="52" fillId="0" borderId="0" xfId="30" applyFont="1" applyAlignment="1">
      <alignment horizontal="center"/>
    </xf>
    <xf numFmtId="4" fontId="52" fillId="0" borderId="0" xfId="30" applyNumberFormat="1" applyFont="1" applyAlignment="1">
      <alignment horizontal="center"/>
    </xf>
    <xf numFmtId="166" fontId="116" fillId="0" borderId="0" xfId="30" applyNumberFormat="1" applyFont="1" applyAlignment="1">
      <alignment horizontal="right"/>
    </xf>
    <xf numFmtId="0" fontId="108" fillId="0" borderId="0" xfId="75" quotePrefix="1" applyFont="1" applyAlignment="1">
      <alignment horizontal="justify" vertical="top" wrapText="1"/>
    </xf>
    <xf numFmtId="0" fontId="108" fillId="0" borderId="1" xfId="61" applyFont="1" applyBorder="1" applyAlignment="1">
      <alignment horizontal="center" vertical="top" wrapText="1"/>
    </xf>
    <xf numFmtId="4" fontId="107" fillId="0" borderId="1" xfId="61" applyNumberFormat="1" applyFont="1" applyBorder="1" applyAlignment="1">
      <alignment horizontal="center"/>
    </xf>
    <xf numFmtId="0" fontId="108" fillId="0" borderId="0" xfId="61" applyFont="1" applyAlignment="1">
      <alignment horizontal="center" vertical="top"/>
    </xf>
    <xf numFmtId="0" fontId="107" fillId="0" borderId="0" xfId="75" applyFont="1" applyAlignment="1">
      <alignment horizontal="left" vertical="top" wrapText="1"/>
    </xf>
    <xf numFmtId="0" fontId="107" fillId="0" borderId="0" xfId="61" applyFont="1" applyAlignment="1">
      <alignment horizontal="center"/>
    </xf>
    <xf numFmtId="4" fontId="107" fillId="0" borderId="0" xfId="61" applyNumberFormat="1" applyFont="1" applyAlignment="1">
      <alignment horizontal="center"/>
    </xf>
    <xf numFmtId="4" fontId="107" fillId="0" borderId="0" xfId="76" applyNumberFormat="1" applyFont="1" applyAlignment="1">
      <alignment horizontal="center"/>
    </xf>
    <xf numFmtId="0" fontId="108" fillId="0" borderId="0" xfId="61" applyFont="1" applyAlignment="1">
      <alignment horizontal="center" vertical="top" wrapText="1"/>
    </xf>
    <xf numFmtId="0" fontId="108" fillId="0" borderId="0" xfId="30" applyFont="1" applyAlignment="1">
      <alignment horizontal="left" vertical="top" wrapText="1"/>
    </xf>
    <xf numFmtId="175" fontId="107" fillId="0" borderId="0" xfId="30" applyNumberFormat="1" applyFont="1" applyAlignment="1">
      <alignment horizontal="right" wrapText="1"/>
    </xf>
    <xf numFmtId="2" fontId="118" fillId="13" borderId="26" xfId="28" applyNumberFormat="1" applyFont="1" applyFill="1" applyBorder="1" applyAlignment="1">
      <alignment horizontal="center" vertical="center"/>
    </xf>
    <xf numFmtId="0" fontId="118" fillId="13" borderId="3" xfId="28" applyFont="1" applyFill="1" applyBorder="1" applyAlignment="1">
      <alignment horizontal="left" vertical="top" wrapText="1"/>
    </xf>
    <xf numFmtId="0" fontId="119" fillId="13" borderId="3" xfId="30" applyFont="1" applyFill="1" applyBorder="1" applyAlignment="1">
      <alignment horizontal="left" vertical="center"/>
    </xf>
    <xf numFmtId="175" fontId="118" fillId="13" borderId="27" xfId="30" applyNumberFormat="1" applyFont="1" applyFill="1" applyBorder="1" applyAlignment="1">
      <alignment horizontal="right" vertical="center"/>
    </xf>
    <xf numFmtId="0" fontId="107" fillId="0" borderId="0" xfId="30" applyFont="1"/>
    <xf numFmtId="166" fontId="107" fillId="0" borderId="0" xfId="30" applyNumberFormat="1" applyFont="1"/>
    <xf numFmtId="2" fontId="52" fillId="0" borderId="0" xfId="77" applyNumberFormat="1" applyFont="1" applyAlignment="1">
      <alignment horizontal="center" vertical="center" wrapText="1"/>
    </xf>
    <xf numFmtId="2" fontId="52" fillId="0" borderId="0" xfId="77" applyNumberFormat="1" applyFont="1" applyAlignment="1">
      <alignment horizontal="center" wrapText="1"/>
    </xf>
    <xf numFmtId="4" fontId="52" fillId="0" borderId="0" xfId="30" applyNumberFormat="1" applyFont="1" applyAlignment="1">
      <alignment horizontal="center" vertical="center"/>
    </xf>
    <xf numFmtId="4" fontId="52" fillId="0" borderId="0" xfId="30" applyNumberFormat="1" applyFont="1" applyAlignment="1">
      <alignment horizontal="right" vertical="center"/>
    </xf>
    <xf numFmtId="2" fontId="108" fillId="0" borderId="0" xfId="61" applyNumberFormat="1" applyFont="1" applyAlignment="1">
      <alignment horizontal="justify" vertical="top" wrapText="1"/>
    </xf>
    <xf numFmtId="0" fontId="107" fillId="0" borderId="0" xfId="75" applyFont="1" applyAlignment="1">
      <alignment horizontal="justify" vertical="top" wrapText="1"/>
    </xf>
    <xf numFmtId="2" fontId="108" fillId="0" borderId="0" xfId="28" applyNumberFormat="1" applyFont="1" applyAlignment="1">
      <alignment horizontal="center" vertical="top"/>
    </xf>
    <xf numFmtId="0" fontId="107" fillId="0" borderId="1" xfId="30" applyFont="1" applyBorder="1" applyAlignment="1">
      <alignment horizontal="left" vertical="top" wrapText="1"/>
    </xf>
    <xf numFmtId="0" fontId="112" fillId="0" borderId="0" xfId="75" applyFont="1" applyAlignment="1">
      <alignment horizontal="justify" vertical="top" wrapText="1"/>
    </xf>
    <xf numFmtId="49" fontId="52" fillId="0" borderId="0" xfId="30" applyNumberFormat="1" applyFont="1" applyAlignment="1">
      <alignment horizontal="center" vertical="top"/>
    </xf>
    <xf numFmtId="49" fontId="52" fillId="0" borderId="0" xfId="30" applyNumberFormat="1" applyFont="1" applyAlignment="1">
      <alignment vertical="top" wrapText="1"/>
    </xf>
    <xf numFmtId="0" fontId="52" fillId="0" borderId="0" xfId="30" applyFont="1" applyAlignment="1">
      <alignment horizontal="center" vertical="center"/>
    </xf>
    <xf numFmtId="4" fontId="52" fillId="0" borderId="0" xfId="30" applyNumberFormat="1" applyFont="1" applyAlignment="1">
      <alignment horizontal="right"/>
    </xf>
    <xf numFmtId="0" fontId="118" fillId="13" borderId="3" xfId="28" applyFont="1" applyFill="1" applyBorder="1" applyAlignment="1">
      <alignment horizontal="left" vertical="center" wrapText="1"/>
    </xf>
    <xf numFmtId="49" fontId="107" fillId="0" borderId="1" xfId="61" applyNumberFormat="1" applyFont="1" applyBorder="1" applyAlignment="1">
      <alignment horizontal="center" vertical="top"/>
    </xf>
    <xf numFmtId="49" fontId="52" fillId="0" borderId="2" xfId="30" applyNumberFormat="1" applyFont="1" applyBorder="1" applyAlignment="1">
      <alignment horizontal="center" vertical="top"/>
    </xf>
    <xf numFmtId="49" fontId="52" fillId="0" borderId="2" xfId="30" applyNumberFormat="1" applyFont="1" applyBorder="1" applyAlignment="1">
      <alignment vertical="top" wrapText="1"/>
    </xf>
    <xf numFmtId="0" fontId="52" fillId="0" borderId="2" xfId="30" applyFont="1" applyBorder="1" applyAlignment="1">
      <alignment horizontal="center" vertical="center"/>
    </xf>
    <xf numFmtId="4" fontId="52" fillId="0" borderId="2" xfId="30" applyNumberFormat="1" applyFont="1" applyBorder="1" applyAlignment="1">
      <alignment horizontal="center"/>
    </xf>
    <xf numFmtId="4" fontId="52" fillId="0" borderId="2" xfId="30" applyNumberFormat="1" applyFont="1" applyBorder="1" applyAlignment="1">
      <alignment horizontal="right"/>
    </xf>
    <xf numFmtId="49" fontId="52" fillId="0" borderId="0" xfId="61" applyNumberFormat="1" applyFont="1" applyAlignment="1">
      <alignment horizontal="center" vertical="top"/>
    </xf>
    <xf numFmtId="49" fontId="52" fillId="0" borderId="1" xfId="61" applyNumberFormat="1" applyFont="1" applyBorder="1" applyAlignment="1">
      <alignment horizontal="center" vertical="top"/>
    </xf>
    <xf numFmtId="0" fontId="10" fillId="13" borderId="22" xfId="61" applyFont="1" applyFill="1" applyBorder="1"/>
    <xf numFmtId="0" fontId="104" fillId="13" borderId="4" xfId="61" applyFont="1" applyFill="1" applyBorder="1" applyAlignment="1">
      <alignment horizontal="left" vertical="center"/>
    </xf>
    <xf numFmtId="0" fontId="120" fillId="13" borderId="4" xfId="61" applyFont="1" applyFill="1" applyBorder="1" applyAlignment="1">
      <alignment horizontal="left"/>
    </xf>
    <xf numFmtId="0" fontId="121" fillId="13" borderId="4" xfId="61" applyFont="1" applyFill="1" applyBorder="1" applyAlignment="1">
      <alignment horizontal="left"/>
    </xf>
    <xf numFmtId="0" fontId="122" fillId="13" borderId="23" xfId="61" applyFont="1" applyFill="1" applyBorder="1" applyAlignment="1">
      <alignment horizontal="right"/>
    </xf>
    <xf numFmtId="0" fontId="10" fillId="0" borderId="9" xfId="61" applyFont="1" applyBorder="1"/>
    <xf numFmtId="0" fontId="10" fillId="0" borderId="0" xfId="61" applyFont="1" applyAlignment="1">
      <alignment horizontal="justify" vertical="center"/>
    </xf>
    <xf numFmtId="0" fontId="120" fillId="0" borderId="0" xfId="61" applyFont="1" applyAlignment="1">
      <alignment horizontal="left"/>
    </xf>
    <xf numFmtId="0" fontId="121" fillId="0" borderId="0" xfId="61" applyFont="1" applyAlignment="1">
      <alignment horizontal="left"/>
    </xf>
    <xf numFmtId="0" fontId="123" fillId="0" borderId="16" xfId="61" applyFont="1" applyBorder="1"/>
    <xf numFmtId="0" fontId="122" fillId="0" borderId="51" xfId="61" applyFont="1" applyBorder="1"/>
    <xf numFmtId="0" fontId="122" fillId="0" borderId="52" xfId="61" applyFont="1" applyBorder="1" applyAlignment="1">
      <alignment vertical="center"/>
    </xf>
    <xf numFmtId="0" fontId="120" fillId="0" borderId="52" xfId="61" applyFont="1" applyBorder="1" applyAlignment="1">
      <alignment horizontal="left"/>
    </xf>
    <xf numFmtId="0" fontId="121" fillId="0" borderId="52" xfId="61" applyFont="1" applyBorder="1" applyAlignment="1">
      <alignment horizontal="left"/>
    </xf>
    <xf numFmtId="175" fontId="104" fillId="0" borderId="53" xfId="61" applyNumberFormat="1" applyFont="1" applyBorder="1" applyAlignment="1">
      <alignment horizontal="right" vertical="center"/>
    </xf>
    <xf numFmtId="0" fontId="122" fillId="0" borderId="54" xfId="61" applyFont="1" applyBorder="1" applyAlignment="1">
      <alignment vertical="center"/>
    </xf>
    <xf numFmtId="2" fontId="122" fillId="0" borderId="51" xfId="61" applyNumberFormat="1" applyFont="1" applyBorder="1"/>
    <xf numFmtId="0" fontId="10" fillId="0" borderId="11" xfId="61" applyFont="1" applyBorder="1"/>
    <xf numFmtId="0" fontId="10" fillId="0" borderId="1" xfId="61" applyFont="1" applyBorder="1" applyAlignment="1">
      <alignment horizontal="justify" vertical="center"/>
    </xf>
    <xf numFmtId="0" fontId="120" fillId="0" borderId="1" xfId="61" applyFont="1" applyBorder="1" applyAlignment="1">
      <alignment horizontal="left"/>
    </xf>
    <xf numFmtId="0" fontId="121" fillId="0" borderId="1" xfId="61" applyFont="1" applyBorder="1" applyAlignment="1">
      <alignment horizontal="left"/>
    </xf>
    <xf numFmtId="2" fontId="10" fillId="0" borderId="12" xfId="61" applyNumberFormat="1" applyFont="1" applyBorder="1" applyAlignment="1">
      <alignment horizontal="right" vertical="center"/>
    </xf>
    <xf numFmtId="0" fontId="10" fillId="13" borderId="26" xfId="61" applyFont="1" applyFill="1" applyBorder="1"/>
    <xf numFmtId="0" fontId="121" fillId="13" borderId="3" xfId="61" applyFont="1" applyFill="1" applyBorder="1" applyAlignment="1">
      <alignment horizontal="justify" vertical="center"/>
    </xf>
    <xf numFmtId="0" fontId="121" fillId="13" borderId="3" xfId="61" applyFont="1" applyFill="1" applyBorder="1" applyAlignment="1">
      <alignment horizontal="left"/>
    </xf>
    <xf numFmtId="0" fontId="124" fillId="13" borderId="3" xfId="61" applyFont="1" applyFill="1" applyBorder="1" applyAlignment="1">
      <alignment horizontal="left"/>
    </xf>
    <xf numFmtId="0" fontId="104" fillId="13" borderId="3" xfId="61" applyFont="1" applyFill="1" applyBorder="1" applyAlignment="1">
      <alignment horizontal="left"/>
    </xf>
    <xf numFmtId="175" fontId="104" fillId="13" borderId="27" xfId="61" applyNumberFormat="1" applyFont="1" applyFill="1" applyBorder="1" applyAlignment="1">
      <alignment horizontal="right"/>
    </xf>
    <xf numFmtId="49" fontId="10" fillId="0" borderId="0" xfId="30" applyNumberFormat="1" applyFont="1" applyAlignment="1">
      <alignment horizontal="left" vertical="top"/>
    </xf>
    <xf numFmtId="4" fontId="102" fillId="0" borderId="0" xfId="30" applyNumberFormat="1" applyFont="1" applyAlignment="1">
      <alignment horizontal="right" vertical="center"/>
    </xf>
    <xf numFmtId="0" fontId="125" fillId="0" borderId="0" xfId="30" applyFont="1" applyAlignment="1">
      <alignment horizontal="right" vertical="center"/>
    </xf>
    <xf numFmtId="175" fontId="102" fillId="13" borderId="6" xfId="61" applyNumberFormat="1" applyFont="1" applyFill="1" applyBorder="1" applyAlignment="1">
      <alignment horizontal="right"/>
    </xf>
    <xf numFmtId="0" fontId="126" fillId="0" borderId="0" xfId="30" applyFont="1" applyAlignment="1">
      <alignment horizontal="right" vertical="center"/>
    </xf>
    <xf numFmtId="175" fontId="127" fillId="13" borderId="6" xfId="30" applyNumberFormat="1" applyFont="1" applyFill="1" applyBorder="1" applyAlignment="1">
      <alignment horizontal="right"/>
    </xf>
    <xf numFmtId="0" fontId="107" fillId="0" borderId="0" xfId="30" applyFont="1" applyAlignment="1">
      <alignment horizontal="right"/>
    </xf>
    <xf numFmtId="176" fontId="107" fillId="0" borderId="0" xfId="30" applyNumberFormat="1" applyFont="1" applyAlignment="1">
      <alignment horizontal="left"/>
    </xf>
    <xf numFmtId="4" fontId="107" fillId="13" borderId="1" xfId="30" applyNumberFormat="1" applyFont="1" applyFill="1" applyBorder="1" applyAlignment="1" applyProtection="1">
      <alignment horizontal="center" wrapText="1"/>
      <protection locked="0"/>
    </xf>
    <xf numFmtId="4" fontId="107" fillId="13" borderId="0" xfId="30" applyNumberFormat="1" applyFont="1" applyFill="1" applyAlignment="1" applyProtection="1">
      <alignment horizontal="center" wrapText="1"/>
      <protection locked="0"/>
    </xf>
    <xf numFmtId="0" fontId="82" fillId="0" borderId="0" xfId="66" applyFont="1" applyAlignment="1">
      <alignment horizontal="center" vertical="center" wrapText="1"/>
    </xf>
    <xf numFmtId="2" fontId="82" fillId="0" borderId="0" xfId="67" applyNumberFormat="1" applyFont="1" applyFill="1" applyBorder="1" applyAlignment="1" applyProtection="1">
      <alignment horizontal="right" vertical="center" wrapText="1"/>
    </xf>
    <xf numFmtId="44" fontId="82" fillId="0" borderId="0" xfId="68" applyFont="1" applyFill="1" applyBorder="1" applyAlignment="1" applyProtection="1">
      <alignment horizontal="center" wrapText="1"/>
    </xf>
    <xf numFmtId="0" fontId="83" fillId="0" borderId="0" xfId="66" applyFont="1"/>
    <xf numFmtId="0" fontId="82" fillId="0" borderId="0" xfId="66" applyFont="1" applyAlignment="1">
      <alignment horizontal="left" vertical="center"/>
    </xf>
    <xf numFmtId="0" fontId="82" fillId="0" borderId="0" xfId="66" applyFont="1"/>
    <xf numFmtId="0" fontId="83" fillId="0" borderId="0" xfId="66" applyFont="1" applyAlignment="1">
      <alignment horizontal="left" vertical="top" wrapText="1"/>
    </xf>
    <xf numFmtId="49" fontId="14" fillId="0" borderId="0" xfId="66" applyNumberFormat="1" applyFont="1" applyAlignment="1">
      <alignment horizontal="center" vertical="center" wrapText="1"/>
    </xf>
    <xf numFmtId="0" fontId="14" fillId="0" borderId="0" xfId="66" applyFont="1" applyAlignment="1">
      <alignment horizontal="justify" vertical="top" wrapText="1"/>
    </xf>
    <xf numFmtId="0" fontId="83" fillId="0" borderId="0" xfId="66" applyFont="1" applyAlignment="1">
      <alignment horizontal="center" vertical="center" wrapText="1"/>
    </xf>
    <xf numFmtId="2" fontId="83" fillId="0" borderId="0" xfId="67" applyNumberFormat="1" applyFont="1" applyFill="1" applyBorder="1" applyAlignment="1" applyProtection="1">
      <alignment horizontal="right" vertical="center" wrapText="1"/>
    </xf>
    <xf numFmtId="2" fontId="14" fillId="0" borderId="0" xfId="67" applyNumberFormat="1" applyFont="1" applyFill="1" applyBorder="1" applyAlignment="1" applyProtection="1">
      <alignment horizontal="right" vertical="center" wrapText="1"/>
    </xf>
    <xf numFmtId="0" fontId="52" fillId="0" borderId="0" xfId="66" applyFont="1"/>
    <xf numFmtId="44" fontId="82" fillId="0" borderId="0" xfId="68" applyFont="1" applyFill="1" applyBorder="1" applyAlignment="1" applyProtection="1">
      <alignment horizontal="center" vertical="center" wrapText="1"/>
    </xf>
    <xf numFmtId="0" fontId="82" fillId="0" borderId="0" xfId="66" applyFont="1" applyAlignment="1">
      <alignment horizontal="center" vertical="center"/>
    </xf>
    <xf numFmtId="2" fontId="82" fillId="0" borderId="0" xfId="67" applyNumberFormat="1" applyFont="1" applyFill="1" applyBorder="1" applyAlignment="1" applyProtection="1">
      <alignment horizontal="right" vertical="center"/>
    </xf>
    <xf numFmtId="0" fontId="83" fillId="0" borderId="0" xfId="66" applyFont="1" applyAlignment="1">
      <alignment vertical="center" wrapText="1"/>
    </xf>
    <xf numFmtId="2" fontId="83" fillId="0" borderId="0" xfId="67" applyNumberFormat="1" applyFont="1" applyFill="1" applyBorder="1" applyAlignment="1" applyProtection="1">
      <alignment horizontal="right" vertical="center"/>
    </xf>
    <xf numFmtId="44" fontId="83" fillId="0" borderId="0" xfId="68" applyFont="1" applyFill="1" applyBorder="1" applyAlignment="1" applyProtection="1">
      <alignment horizontal="center" wrapText="1"/>
    </xf>
    <xf numFmtId="0" fontId="14" fillId="0" borderId="0" xfId="66" applyFont="1" applyAlignment="1">
      <alignment horizontal="center" vertical="center"/>
    </xf>
    <xf numFmtId="0" fontId="14" fillId="0" borderId="0" xfId="66" applyFont="1" applyAlignment="1">
      <alignment horizontal="justify" vertical="top"/>
    </xf>
    <xf numFmtId="0" fontId="52" fillId="0" borderId="0" xfId="66" applyFont="1" applyAlignment="1">
      <alignment horizontal="center" vertical="center"/>
    </xf>
    <xf numFmtId="2" fontId="52" fillId="0" borderId="0" xfId="66" applyNumberFormat="1" applyFont="1" applyAlignment="1">
      <alignment horizontal="right" vertical="center"/>
    </xf>
    <xf numFmtId="169" fontId="52" fillId="0" borderId="0" xfId="66" applyNumberFormat="1" applyFont="1"/>
    <xf numFmtId="170" fontId="52" fillId="0" borderId="0" xfId="66" applyNumberFormat="1" applyFont="1"/>
    <xf numFmtId="0" fontId="52" fillId="0" borderId="0" xfId="66" applyFont="1" applyAlignment="1">
      <alignment horizontal="left" vertical="top"/>
    </xf>
    <xf numFmtId="0" fontId="52" fillId="0" borderId="0" xfId="28" applyFont="1" applyAlignment="1">
      <alignment horizontal="left" vertical="top" wrapText="1"/>
    </xf>
    <xf numFmtId="171" fontId="52" fillId="0" borderId="0" xfId="69" applyFont="1" applyFill="1" applyBorder="1" applyAlignment="1" applyProtection="1">
      <alignment horizontal="center" vertical="center"/>
    </xf>
    <xf numFmtId="2" fontId="52" fillId="0" borderId="0" xfId="70" applyNumberFormat="1" applyFont="1" applyFill="1" applyBorder="1" applyAlignment="1" applyProtection="1">
      <alignment horizontal="right" vertical="center" shrinkToFit="1"/>
    </xf>
    <xf numFmtId="0" fontId="84" fillId="0" borderId="0" xfId="66" applyFont="1" applyAlignment="1">
      <alignment horizontal="justify" vertical="top"/>
    </xf>
    <xf numFmtId="0" fontId="133" fillId="0" borderId="0" xfId="66" applyFont="1" applyAlignment="1">
      <alignment horizontal="justify" vertical="top"/>
    </xf>
    <xf numFmtId="2" fontId="83" fillId="0" borderId="0" xfId="68" applyNumberFormat="1" applyFont="1" applyFill="1" applyBorder="1" applyAlignment="1" applyProtection="1">
      <alignment horizontal="right" vertical="center" wrapText="1"/>
    </xf>
    <xf numFmtId="44" fontId="83" fillId="0" borderId="0" xfId="68" applyFont="1" applyFill="1" applyBorder="1" applyAlignment="1" applyProtection="1">
      <alignment horizontal="center" vertical="center" wrapText="1"/>
    </xf>
    <xf numFmtId="0" fontId="83" fillId="0" borderId="0" xfId="66" applyFont="1" applyAlignment="1">
      <alignment vertical="top" wrapText="1"/>
    </xf>
    <xf numFmtId="0" fontId="83" fillId="0" borderId="0" xfId="66" applyFont="1" applyAlignment="1">
      <alignment horizontal="center" vertical="center"/>
    </xf>
    <xf numFmtId="0" fontId="83" fillId="0" borderId="0" xfId="66" applyFont="1" applyAlignment="1">
      <alignment horizontal="center"/>
    </xf>
    <xf numFmtId="2" fontId="83" fillId="0" borderId="0" xfId="66" applyNumberFormat="1" applyFont="1" applyAlignment="1">
      <alignment horizontal="right" vertical="center"/>
    </xf>
    <xf numFmtId="0" fontId="1" fillId="10" borderId="0" xfId="66" applyFill="1"/>
    <xf numFmtId="0" fontId="83" fillId="0" borderId="0" xfId="66" applyFont="1" applyAlignment="1">
      <alignment horizontal="justify" vertical="center" wrapText="1"/>
    </xf>
    <xf numFmtId="0" fontId="83" fillId="0" borderId="0" xfId="66" applyFont="1" applyAlignment="1">
      <alignment wrapText="1"/>
    </xf>
    <xf numFmtId="4" fontId="83" fillId="0" borderId="0" xfId="66" applyNumberFormat="1" applyFont="1" applyAlignment="1">
      <alignment horizontal="center" vertical="center" wrapText="1"/>
    </xf>
    <xf numFmtId="168" fontId="83" fillId="0" borderId="0" xfId="66" applyNumberFormat="1" applyFont="1"/>
    <xf numFmtId="4" fontId="83" fillId="0" borderId="0" xfId="66" applyNumberFormat="1" applyFont="1" applyAlignment="1">
      <alignment vertical="center" wrapText="1"/>
    </xf>
    <xf numFmtId="0" fontId="83" fillId="0" borderId="0" xfId="66" applyFont="1" applyAlignment="1">
      <alignment vertical="center"/>
    </xf>
    <xf numFmtId="44" fontId="83" fillId="0" borderId="0" xfId="66" applyNumberFormat="1" applyFont="1"/>
    <xf numFmtId="0" fontId="14" fillId="0" borderId="0" xfId="66" applyFont="1" applyAlignment="1">
      <alignment horizontal="justify" vertical="center"/>
    </xf>
    <xf numFmtId="2" fontId="85" fillId="0" borderId="0" xfId="66" applyNumberFormat="1" applyFont="1" applyAlignment="1">
      <alignment horizontal="right" vertical="center"/>
    </xf>
    <xf numFmtId="173" fontId="83" fillId="0" borderId="0" xfId="68" applyNumberFormat="1" applyFont="1" applyFill="1" applyAlignment="1" applyProtection="1">
      <alignment horizontal="center" vertical="center" wrapText="1"/>
    </xf>
    <xf numFmtId="173" fontId="83" fillId="0" borderId="0" xfId="68" applyNumberFormat="1" applyFont="1" applyFill="1" applyBorder="1" applyAlignment="1" applyProtection="1">
      <alignment horizontal="center" vertical="center" wrapText="1"/>
    </xf>
    <xf numFmtId="0" fontId="14" fillId="0" borderId="0" xfId="66" applyFont="1" applyAlignment="1">
      <alignment horizontal="justify" vertical="center" wrapText="1"/>
    </xf>
    <xf numFmtId="49" fontId="86" fillId="0" borderId="0" xfId="66" applyNumberFormat="1" applyFont="1" applyAlignment="1">
      <alignment horizontal="center" vertical="center"/>
    </xf>
    <xf numFmtId="0" fontId="86" fillId="0" borderId="0" xfId="66" applyFont="1" applyAlignment="1">
      <alignment horizontal="center" vertical="top"/>
    </xf>
    <xf numFmtId="0" fontId="83" fillId="0" borderId="0" xfId="66" applyFont="1" applyAlignment="1">
      <alignment horizontal="justify" vertical="top" wrapText="1"/>
    </xf>
    <xf numFmtId="0" fontId="86" fillId="0" borderId="0" xfId="66" applyFont="1" applyAlignment="1">
      <alignment horizontal="left" vertical="top" wrapText="1"/>
    </xf>
    <xf numFmtId="0" fontId="86" fillId="0" borderId="0" xfId="66" applyFont="1" applyAlignment="1">
      <alignment horizontal="justify" vertical="center"/>
    </xf>
    <xf numFmtId="0" fontId="86" fillId="0" borderId="0" xfId="66" applyFont="1" applyAlignment="1">
      <alignment horizontal="justify" vertical="top" wrapText="1"/>
    </xf>
    <xf numFmtId="0" fontId="86" fillId="0" borderId="0" xfId="66" applyFont="1" applyAlignment="1">
      <alignment horizontal="center" vertical="center"/>
    </xf>
    <xf numFmtId="49" fontId="86" fillId="0" borderId="0" xfId="66" applyNumberFormat="1" applyFont="1" applyAlignment="1">
      <alignment horizontal="center" vertical="top"/>
    </xf>
    <xf numFmtId="0" fontId="83" fillId="0" borderId="0" xfId="66" applyFont="1" applyAlignment="1">
      <alignment horizontal="justify"/>
    </xf>
    <xf numFmtId="0" fontId="86" fillId="0" borderId="0" xfId="66" applyFont="1" applyAlignment="1">
      <alignment horizontal="left" vertical="center" wrapText="1"/>
    </xf>
    <xf numFmtId="2" fontId="14" fillId="0" borderId="0" xfId="66" applyNumberFormat="1" applyFont="1" applyAlignment="1">
      <alignment horizontal="right" vertical="center"/>
    </xf>
    <xf numFmtId="0" fontId="82" fillId="0" borderId="0" xfId="66" applyFont="1" applyAlignment="1">
      <alignment horizontal="left"/>
    </xf>
    <xf numFmtId="2" fontId="14" fillId="0" borderId="0" xfId="68" applyNumberFormat="1" applyFont="1" applyFill="1" applyBorder="1" applyAlignment="1" applyProtection="1">
      <alignment horizontal="right" vertical="center" wrapText="1"/>
    </xf>
    <xf numFmtId="0" fontId="128" fillId="0" borderId="2" xfId="66" applyFont="1" applyBorder="1" applyAlignment="1">
      <alignment vertical="center"/>
    </xf>
    <xf numFmtId="0" fontId="129" fillId="0" borderId="2" xfId="66" applyFont="1" applyBorder="1"/>
    <xf numFmtId="0" fontId="27" fillId="0" borderId="2" xfId="66" applyFont="1" applyBorder="1" applyAlignment="1">
      <alignment horizontal="center" vertical="center"/>
    </xf>
    <xf numFmtId="2" fontId="27" fillId="0" borderId="2" xfId="66" applyNumberFormat="1" applyFont="1" applyBorder="1" applyAlignment="1">
      <alignment horizontal="right" vertical="center"/>
    </xf>
    <xf numFmtId="0" fontId="27" fillId="0" borderId="2" xfId="66" applyFont="1" applyBorder="1"/>
    <xf numFmtId="0" fontId="27" fillId="0" borderId="0" xfId="66" applyFont="1"/>
    <xf numFmtId="0" fontId="87" fillId="0" borderId="0" xfId="66" applyFont="1" applyAlignment="1">
      <alignment vertical="center"/>
    </xf>
    <xf numFmtId="173" fontId="83" fillId="0" borderId="0" xfId="68" applyNumberFormat="1" applyFont="1" applyFill="1" applyBorder="1" applyAlignment="1" applyProtection="1">
      <alignment vertical="center"/>
    </xf>
    <xf numFmtId="173" fontId="82" fillId="0" borderId="0" xfId="66" applyNumberFormat="1" applyFont="1"/>
    <xf numFmtId="0" fontId="88" fillId="0" borderId="0" xfId="66" applyFont="1" applyAlignment="1">
      <alignment horizontal="left" vertical="center"/>
    </xf>
    <xf numFmtId="2" fontId="83" fillId="0" borderId="0" xfId="66" applyNumberFormat="1" applyFont="1" applyAlignment="1">
      <alignment horizontal="right" vertical="center" wrapText="1"/>
    </xf>
    <xf numFmtId="0" fontId="83" fillId="0" borderId="0" xfId="66" applyFont="1" applyAlignment="1">
      <alignment horizontal="left"/>
    </xf>
    <xf numFmtId="4" fontId="83" fillId="0" borderId="0" xfId="66" applyNumberFormat="1" applyFont="1" applyAlignment="1">
      <alignment vertical="center"/>
    </xf>
    <xf numFmtId="0" fontId="89" fillId="0" borderId="0" xfId="66" applyFont="1" applyAlignment="1">
      <alignment vertical="center"/>
    </xf>
    <xf numFmtId="0" fontId="91" fillId="0" borderId="0" xfId="71" applyFont="1" applyBorder="1" applyAlignment="1" applyProtection="1">
      <alignment horizontal="left" vertical="center"/>
    </xf>
    <xf numFmtId="0" fontId="1" fillId="0" borderId="0" xfId="66" applyAlignment="1">
      <alignment vertical="center"/>
    </xf>
    <xf numFmtId="0" fontId="92" fillId="0" borderId="0" xfId="66" applyFont="1" applyAlignment="1">
      <alignment horizontal="left" vertical="center"/>
    </xf>
    <xf numFmtId="0" fontId="93" fillId="11" borderId="6" xfId="66" applyFont="1" applyFill="1" applyBorder="1" applyAlignment="1">
      <alignment horizontal="center"/>
    </xf>
    <xf numFmtId="0" fontId="94" fillId="11" borderId="6" xfId="66" applyFont="1" applyFill="1" applyBorder="1" applyAlignment="1">
      <alignment horizontal="left"/>
    </xf>
    <xf numFmtId="0" fontId="94" fillId="11" borderId="6" xfId="66" applyFont="1" applyFill="1" applyBorder="1" applyAlignment="1">
      <alignment horizontal="center" vertical="center"/>
    </xf>
    <xf numFmtId="0" fontId="94" fillId="11" borderId="6" xfId="66" applyFont="1" applyFill="1" applyBorder="1" applyAlignment="1">
      <alignment horizontal="right" vertical="center"/>
    </xf>
    <xf numFmtId="1" fontId="95" fillId="0" borderId="6" xfId="66" applyNumberFormat="1" applyFont="1" applyBorder="1" applyAlignment="1">
      <alignment horizontal="center" vertical="center"/>
    </xf>
    <xf numFmtId="0" fontId="94" fillId="0" borderId="6" xfId="66" applyFont="1" applyBorder="1" applyAlignment="1">
      <alignment horizontal="left"/>
    </xf>
    <xf numFmtId="0" fontId="96" fillId="0" borderId="6" xfId="66" applyFont="1" applyBorder="1" applyAlignment="1">
      <alignment horizontal="center" vertical="center"/>
    </xf>
    <xf numFmtId="0" fontId="94" fillId="0" borderId="6" xfId="66" applyFont="1" applyBorder="1" applyAlignment="1">
      <alignment horizontal="left" vertical="center" wrapText="1"/>
    </xf>
    <xf numFmtId="1" fontId="96" fillId="5" borderId="6" xfId="66" applyNumberFormat="1" applyFont="1" applyFill="1" applyBorder="1" applyAlignment="1">
      <alignment horizontal="center" vertical="center"/>
    </xf>
    <xf numFmtId="0" fontId="96" fillId="5" borderId="6" xfId="66" applyFont="1" applyFill="1" applyBorder="1" applyAlignment="1">
      <alignment horizontal="left" vertical="center" wrapText="1"/>
    </xf>
    <xf numFmtId="0" fontId="12" fillId="5" borderId="6" xfId="66" applyFont="1" applyFill="1" applyBorder="1" applyAlignment="1">
      <alignment horizontal="center" vertical="center" shrinkToFit="1"/>
    </xf>
    <xf numFmtId="0" fontId="96" fillId="5" borderId="6" xfId="66" applyFont="1" applyFill="1" applyBorder="1" applyAlignment="1">
      <alignment horizontal="left" vertical="center"/>
    </xf>
    <xf numFmtId="0" fontId="12" fillId="5" borderId="6" xfId="66" applyFont="1" applyFill="1" applyBorder="1" applyAlignment="1">
      <alignment horizontal="left" vertical="top" wrapText="1"/>
    </xf>
    <xf numFmtId="1" fontId="1" fillId="5" borderId="6" xfId="66" applyNumberFormat="1" applyFill="1" applyBorder="1" applyAlignment="1">
      <alignment horizontal="center" vertical="center"/>
    </xf>
    <xf numFmtId="4" fontId="12" fillId="5" borderId="6" xfId="66" applyNumberFormat="1" applyFont="1" applyFill="1" applyBorder="1" applyAlignment="1">
      <alignment horizontal="right" vertical="center" shrinkToFit="1"/>
    </xf>
    <xf numFmtId="1" fontId="1" fillId="0" borderId="6" xfId="66" applyNumberFormat="1" applyBorder="1" applyAlignment="1">
      <alignment horizontal="center" vertical="center"/>
    </xf>
    <xf numFmtId="0" fontId="94" fillId="11" borderId="6" xfId="66" applyFont="1" applyFill="1" applyBorder="1" applyAlignment="1">
      <alignment horizontal="left" vertical="center"/>
    </xf>
    <xf numFmtId="0" fontId="12" fillId="11" borderId="6" xfId="66" applyFont="1" applyFill="1" applyBorder="1" applyAlignment="1">
      <alignment horizontal="center" vertical="center" shrinkToFit="1"/>
    </xf>
    <xf numFmtId="4" fontId="12" fillId="11" borderId="6" xfId="66" applyNumberFormat="1" applyFont="1" applyFill="1" applyBorder="1" applyAlignment="1">
      <alignment horizontal="right" vertical="center" shrinkToFit="1"/>
    </xf>
    <xf numFmtId="0" fontId="1" fillId="0" borderId="6" xfId="66" applyBorder="1" applyAlignment="1">
      <alignment horizontal="center" vertical="center"/>
    </xf>
    <xf numFmtId="0" fontId="94" fillId="0" borderId="6" xfId="66" applyFont="1" applyBorder="1" applyAlignment="1">
      <alignment horizontal="left" vertical="center"/>
    </xf>
    <xf numFmtId="0" fontId="12" fillId="0" borderId="6" xfId="66" applyFont="1" applyBorder="1" applyAlignment="1">
      <alignment horizontal="center" vertical="center" shrinkToFit="1"/>
    </xf>
    <xf numFmtId="4" fontId="12" fillId="0" borderId="6" xfId="66" applyNumberFormat="1" applyFont="1" applyBorder="1" applyAlignment="1">
      <alignment horizontal="right" vertical="center" shrinkToFit="1"/>
    </xf>
    <xf numFmtId="0" fontId="96" fillId="5" borderId="6" xfId="66" applyFont="1" applyFill="1" applyBorder="1" applyAlignment="1">
      <alignment horizontal="center" vertical="center"/>
    </xf>
    <xf numFmtId="0" fontId="1" fillId="5" borderId="6" xfId="66" applyFill="1" applyBorder="1" applyAlignment="1">
      <alignment horizontal="center" vertical="center"/>
    </xf>
    <xf numFmtId="0" fontId="96" fillId="5" borderId="31" xfId="66" applyFont="1" applyFill="1" applyBorder="1" applyAlignment="1">
      <alignment horizontal="left" vertical="center" wrapText="1"/>
    </xf>
    <xf numFmtId="0" fontId="12" fillId="5" borderId="31" xfId="66" applyFont="1" applyFill="1" applyBorder="1" applyAlignment="1">
      <alignment horizontal="center" vertical="center" shrinkToFit="1"/>
    </xf>
    <xf numFmtId="0" fontId="1" fillId="5" borderId="26" xfId="66" applyFill="1" applyBorder="1"/>
    <xf numFmtId="0" fontId="96" fillId="5" borderId="3" xfId="66" applyFont="1" applyFill="1" applyBorder="1" applyAlignment="1">
      <alignment horizontal="right" vertical="center"/>
    </xf>
    <xf numFmtId="0" fontId="12" fillId="5" borderId="3" xfId="66" applyFont="1" applyFill="1" applyBorder="1" applyAlignment="1">
      <alignment horizontal="center" vertical="center" shrinkToFit="1"/>
    </xf>
    <xf numFmtId="1" fontId="96" fillId="0" borderId="6" xfId="66" applyNumberFormat="1" applyFont="1" applyBorder="1" applyAlignment="1">
      <alignment horizontal="center" vertical="center"/>
    </xf>
    <xf numFmtId="0" fontId="96" fillId="0" borderId="6" xfId="66" applyFont="1" applyBorder="1" applyAlignment="1">
      <alignment horizontal="left"/>
    </xf>
    <xf numFmtId="0" fontId="12" fillId="0" borderId="6" xfId="66" applyFont="1" applyBorder="1" applyAlignment="1">
      <alignment horizontal="left" vertical="top" wrapText="1"/>
    </xf>
    <xf numFmtId="0" fontId="98" fillId="11" borderId="6" xfId="66" applyFont="1" applyFill="1" applyBorder="1" applyAlignment="1">
      <alignment horizontal="center" vertical="top" wrapText="1"/>
    </xf>
    <xf numFmtId="1" fontId="96" fillId="0" borderId="6" xfId="66" applyNumberFormat="1" applyFont="1" applyBorder="1" applyAlignment="1">
      <alignment horizontal="left" vertical="center"/>
    </xf>
    <xf numFmtId="0" fontId="98" fillId="0" borderId="6" xfId="66" applyFont="1" applyBorder="1" applyAlignment="1">
      <alignment horizontal="left" vertical="top" wrapText="1"/>
    </xf>
    <xf numFmtId="0" fontId="12" fillId="0" borderId="6" xfId="66" applyFont="1" applyBorder="1" applyAlignment="1">
      <alignment horizontal="left" vertical="center" shrinkToFit="1"/>
    </xf>
    <xf numFmtId="0" fontId="12" fillId="0" borderId="31" xfId="66" applyFont="1" applyBorder="1" applyAlignment="1">
      <alignment horizontal="left" vertical="top" wrapText="1"/>
    </xf>
    <xf numFmtId="0" fontId="12" fillId="0" borderId="31" xfId="66" applyFont="1" applyBorder="1" applyAlignment="1">
      <alignment horizontal="center" vertical="center" shrinkToFit="1"/>
    </xf>
    <xf numFmtId="0" fontId="1" fillId="0" borderId="26" xfId="66" applyBorder="1"/>
    <xf numFmtId="0" fontId="96" fillId="5" borderId="26" xfId="66" applyFont="1" applyFill="1" applyBorder="1" applyAlignment="1">
      <alignment horizontal="right" vertical="center"/>
    </xf>
    <xf numFmtId="0" fontId="1" fillId="0" borderId="3" xfId="66" applyBorder="1" applyAlignment="1">
      <alignment vertical="center"/>
    </xf>
    <xf numFmtId="4" fontId="12" fillId="11" borderId="6" xfId="66" applyNumberFormat="1" applyFont="1" applyFill="1" applyBorder="1" applyAlignment="1">
      <alignment horizontal="right" vertical="top" shrinkToFit="1"/>
    </xf>
    <xf numFmtId="0" fontId="96" fillId="0" borderId="6" xfId="66" applyFont="1" applyBorder="1" applyAlignment="1">
      <alignment horizontal="center"/>
    </xf>
    <xf numFmtId="0" fontId="94" fillId="0" borderId="31" xfId="66" applyFont="1" applyBorder="1" applyAlignment="1">
      <alignment horizontal="left"/>
    </xf>
    <xf numFmtId="0" fontId="94" fillId="0" borderId="6" xfId="66" applyFont="1" applyBorder="1" applyAlignment="1">
      <alignment horizontal="center" vertical="center"/>
    </xf>
    <xf numFmtId="0" fontId="12" fillId="0" borderId="6" xfId="66" applyFont="1" applyBorder="1" applyAlignment="1">
      <alignment horizontal="justify" vertical="top" wrapText="1"/>
    </xf>
    <xf numFmtId="4" fontId="12" fillId="0" borderId="31" xfId="66" applyNumberFormat="1" applyFont="1" applyBorder="1" applyAlignment="1">
      <alignment horizontal="right" vertical="center" shrinkToFit="1"/>
    </xf>
    <xf numFmtId="4" fontId="46" fillId="0" borderId="6" xfId="66" applyNumberFormat="1" applyFont="1" applyBorder="1" applyAlignment="1">
      <alignment horizontal="right"/>
    </xf>
    <xf numFmtId="0" fontId="99" fillId="0" borderId="6" xfId="66" applyFont="1" applyBorder="1" applyAlignment="1">
      <alignment horizontal="justify" vertical="top" wrapText="1"/>
    </xf>
    <xf numFmtId="0" fontId="99" fillId="0" borderId="6" xfId="66" applyFont="1" applyBorder="1" applyAlignment="1">
      <alignment horizontal="left" vertical="top" wrapText="1"/>
    </xf>
    <xf numFmtId="49" fontId="12" fillId="0" borderId="6" xfId="66" applyNumberFormat="1" applyFont="1" applyBorder="1" applyAlignment="1">
      <alignment horizontal="justify" vertical="top" wrapText="1"/>
    </xf>
    <xf numFmtId="1" fontId="96" fillId="0" borderId="26" xfId="66" applyNumberFormat="1" applyFont="1" applyBorder="1" applyAlignment="1">
      <alignment horizontal="center" vertical="center"/>
    </xf>
    <xf numFmtId="0" fontId="12" fillId="0" borderId="3" xfId="66" applyFont="1" applyBorder="1" applyAlignment="1">
      <alignment horizontal="center" vertical="center" shrinkToFit="1"/>
    </xf>
    <xf numFmtId="4" fontId="46" fillId="5" borderId="3" xfId="66" applyNumberFormat="1" applyFont="1" applyFill="1" applyBorder="1" applyAlignment="1">
      <alignment horizontal="right" vertical="center"/>
    </xf>
    <xf numFmtId="4" fontId="46" fillId="5" borderId="27" xfId="66" applyNumberFormat="1" applyFont="1" applyFill="1" applyBorder="1" applyAlignment="1">
      <alignment horizontal="right" vertical="center"/>
    </xf>
    <xf numFmtId="0" fontId="130" fillId="0" borderId="0" xfId="66" applyFont="1"/>
    <xf numFmtId="0" fontId="130" fillId="0" borderId="6" xfId="66" applyFont="1" applyBorder="1"/>
    <xf numFmtId="0" fontId="130" fillId="0" borderId="6" xfId="66" applyFont="1" applyBorder="1" applyAlignment="1">
      <alignment vertical="top" wrapText="1"/>
    </xf>
    <xf numFmtId="0" fontId="130" fillId="0" borderId="6" xfId="66" applyFont="1" applyBorder="1" applyAlignment="1">
      <alignment vertical="top"/>
    </xf>
    <xf numFmtId="0" fontId="130" fillId="0" borderId="6" xfId="66" applyFont="1" applyBorder="1" applyAlignment="1">
      <alignment horizontal="left" vertical="top" wrapText="1"/>
    </xf>
    <xf numFmtId="0" fontId="96" fillId="5" borderId="26" xfId="66" applyFont="1" applyFill="1" applyBorder="1" applyAlignment="1">
      <alignment horizontal="right" vertical="top"/>
    </xf>
    <xf numFmtId="0" fontId="1" fillId="0" borderId="0" xfId="66" applyAlignment="1">
      <alignment vertical="top"/>
    </xf>
    <xf numFmtId="0" fontId="94" fillId="11" borderId="6" xfId="66" applyFont="1" applyFill="1" applyBorder="1" applyAlignment="1">
      <alignment horizontal="left" vertical="top"/>
    </xf>
    <xf numFmtId="0" fontId="1" fillId="0" borderId="6" xfId="66" applyBorder="1"/>
    <xf numFmtId="0" fontId="1" fillId="0" borderId="6" xfId="66" applyBorder="1" applyAlignment="1">
      <alignment vertical="top"/>
    </xf>
    <xf numFmtId="0" fontId="1" fillId="0" borderId="6" xfId="66" applyBorder="1" applyAlignment="1">
      <alignment vertical="center"/>
    </xf>
    <xf numFmtId="0" fontId="96" fillId="0" borderId="6" xfId="66" applyFont="1" applyBorder="1" applyAlignment="1">
      <alignment horizontal="center" vertical="center" wrapText="1"/>
    </xf>
    <xf numFmtId="0" fontId="96" fillId="0" borderId="6" xfId="66" applyFont="1" applyBorder="1" applyAlignment="1">
      <alignment horizontal="left" vertical="top" wrapText="1"/>
    </xf>
    <xf numFmtId="0" fontId="96" fillId="0" borderId="31" xfId="66" applyFont="1" applyBorder="1" applyAlignment="1">
      <alignment horizontal="left" vertical="top" wrapText="1"/>
    </xf>
    <xf numFmtId="0" fontId="96" fillId="0" borderId="31" xfId="66" applyFont="1" applyBorder="1" applyAlignment="1">
      <alignment horizontal="center" vertical="center" wrapText="1"/>
    </xf>
    <xf numFmtId="0" fontId="1" fillId="0" borderId="6" xfId="66" applyBorder="1" applyAlignment="1">
      <alignment horizontal="left" vertical="center"/>
    </xf>
    <xf numFmtId="0" fontId="1" fillId="0" borderId="6" xfId="66" applyBorder="1" applyAlignment="1">
      <alignment horizontal="left" vertical="top"/>
    </xf>
    <xf numFmtId="0" fontId="96" fillId="0" borderId="26" xfId="66" applyFont="1" applyBorder="1" applyAlignment="1">
      <alignment horizontal="center" vertical="center" wrapText="1"/>
    </xf>
    <xf numFmtId="0" fontId="96" fillId="0" borderId="3" xfId="66" applyFont="1" applyBorder="1" applyAlignment="1">
      <alignment horizontal="left" vertical="top" wrapText="1"/>
    </xf>
    <xf numFmtId="0" fontId="96" fillId="0" borderId="6" xfId="66" applyFont="1" applyBorder="1" applyAlignment="1">
      <alignment horizontal="left" vertical="top"/>
    </xf>
    <xf numFmtId="0" fontId="94" fillId="0" borderId="6" xfId="66" applyFont="1" applyBorder="1" applyAlignment="1">
      <alignment horizontal="left" vertical="top" wrapText="1"/>
    </xf>
    <xf numFmtId="0" fontId="12" fillId="0" borderId="32" xfId="72" applyFont="1" applyBorder="1" applyAlignment="1">
      <alignment horizontal="left" vertical="top" wrapText="1"/>
    </xf>
    <xf numFmtId="0" fontId="12" fillId="0" borderId="6" xfId="72" applyFont="1" applyBorder="1" applyAlignment="1">
      <alignment horizontal="left" vertical="top" wrapText="1"/>
    </xf>
    <xf numFmtId="14" fontId="96" fillId="0" borderId="6" xfId="66" applyNumberFormat="1" applyFont="1" applyBorder="1" applyAlignment="1">
      <alignment horizontal="center" vertical="center"/>
    </xf>
    <xf numFmtId="0" fontId="12" fillId="0" borderId="55" xfId="72" applyFont="1" applyBorder="1" applyAlignment="1">
      <alignment horizontal="left" vertical="top" wrapText="1"/>
    </xf>
    <xf numFmtId="0" fontId="96" fillId="0" borderId="26" xfId="66" applyFont="1" applyBorder="1"/>
    <xf numFmtId="0" fontId="7" fillId="0" borderId="3" xfId="66" applyFont="1" applyBorder="1" applyAlignment="1">
      <alignment horizontal="center" vertical="center" shrinkToFit="1"/>
    </xf>
    <xf numFmtId="0" fontId="100" fillId="11" borderId="6" xfId="66" applyFont="1" applyFill="1" applyBorder="1" applyAlignment="1">
      <alignment horizontal="center"/>
    </xf>
    <xf numFmtId="0" fontId="100" fillId="11" borderId="6" xfId="66" applyFont="1" applyFill="1" applyBorder="1" applyAlignment="1">
      <alignment horizontal="left" vertical="top"/>
    </xf>
    <xf numFmtId="0" fontId="100" fillId="11" borderId="6" xfId="66" applyFont="1" applyFill="1" applyBorder="1" applyAlignment="1">
      <alignment horizontal="center" vertical="center"/>
    </xf>
    <xf numFmtId="0" fontId="1" fillId="0" borderId="33" xfId="66" applyBorder="1"/>
    <xf numFmtId="0" fontId="101" fillId="0" borderId="34" xfId="66" applyFont="1" applyBorder="1"/>
    <xf numFmtId="0" fontId="1" fillId="0" borderId="34" xfId="66" applyBorder="1" applyAlignment="1">
      <alignment vertical="center"/>
    </xf>
    <xf numFmtId="0" fontId="1" fillId="0" borderId="36" xfId="66" applyBorder="1"/>
    <xf numFmtId="0" fontId="101" fillId="0" borderId="38" xfId="66" applyFont="1" applyBorder="1" applyAlignment="1">
      <alignment horizontal="center"/>
    </xf>
    <xf numFmtId="0" fontId="101" fillId="0" borderId="39" xfId="66" applyFont="1" applyBorder="1" applyAlignment="1">
      <alignment horizontal="left"/>
    </xf>
    <xf numFmtId="0" fontId="101" fillId="0" borderId="39" xfId="66" applyFont="1" applyBorder="1" applyAlignment="1">
      <alignment vertical="center"/>
    </xf>
    <xf numFmtId="0" fontId="101" fillId="0" borderId="41" xfId="66" applyFont="1" applyBorder="1" applyAlignment="1">
      <alignment horizontal="center"/>
    </xf>
    <xf numFmtId="0" fontId="101" fillId="0" borderId="6" xfId="66" applyFont="1" applyBorder="1" applyAlignment="1">
      <alignment horizontal="left"/>
    </xf>
    <xf numFmtId="0" fontId="101" fillId="0" borderId="6" xfId="66" applyFont="1" applyBorder="1" applyAlignment="1">
      <alignment vertical="center"/>
    </xf>
    <xf numFmtId="0" fontId="101" fillId="0" borderId="43" xfId="66" applyFont="1" applyBorder="1" applyAlignment="1">
      <alignment horizontal="center"/>
    </xf>
    <xf numFmtId="0" fontId="101" fillId="0" borderId="31" xfId="66" applyFont="1" applyBorder="1" applyAlignment="1">
      <alignment horizontal="left"/>
    </xf>
    <xf numFmtId="0" fontId="101" fillId="0" borderId="31" xfId="66" applyFont="1" applyBorder="1" applyAlignment="1">
      <alignment vertical="center"/>
    </xf>
    <xf numFmtId="0" fontId="101" fillId="0" borderId="45" xfId="66" applyFont="1" applyBorder="1" applyAlignment="1">
      <alignment horizontal="center"/>
    </xf>
    <xf numFmtId="0" fontId="101" fillId="0" borderId="46" xfId="66" applyFont="1" applyBorder="1" applyAlignment="1">
      <alignment horizontal="left"/>
    </xf>
    <xf numFmtId="0" fontId="101" fillId="0" borderId="46" xfId="66" applyFont="1" applyBorder="1" applyAlignment="1">
      <alignment vertical="center"/>
    </xf>
    <xf numFmtId="0" fontId="101" fillId="0" borderId="33" xfId="66" applyFont="1" applyBorder="1"/>
    <xf numFmtId="0" fontId="101" fillId="0" borderId="34" xfId="66" applyFont="1" applyBorder="1" applyAlignment="1">
      <alignment vertical="center"/>
    </xf>
    <xf numFmtId="0" fontId="101" fillId="0" borderId="36" xfId="66" applyFont="1" applyBorder="1"/>
    <xf numFmtId="0" fontId="101" fillId="0" borderId="0" xfId="66" applyFont="1"/>
    <xf numFmtId="0" fontId="101" fillId="0" borderId="0" xfId="66" applyFont="1" applyAlignment="1">
      <alignment vertical="center"/>
    </xf>
    <xf numFmtId="0" fontId="101" fillId="0" borderId="48" xfId="66" applyFont="1" applyBorder="1"/>
    <xf numFmtId="0" fontId="101" fillId="0" borderId="49" xfId="66" applyFont="1" applyBorder="1" applyAlignment="1">
      <alignment horizontal="left"/>
    </xf>
    <xf numFmtId="0" fontId="101" fillId="0" borderId="49" xfId="66" applyFont="1" applyBorder="1" applyAlignment="1">
      <alignment vertical="center"/>
    </xf>
    <xf numFmtId="4" fontId="1" fillId="0" borderId="0" xfId="66" applyNumberFormat="1" applyAlignment="1">
      <alignment horizontal="right" vertical="center"/>
    </xf>
    <xf numFmtId="4" fontId="1" fillId="0" borderId="0" xfId="66" applyNumberFormat="1" applyAlignment="1">
      <alignment horizontal="right"/>
    </xf>
    <xf numFmtId="4" fontId="94" fillId="11" borderId="6" xfId="66" applyNumberFormat="1" applyFont="1" applyFill="1" applyBorder="1" applyAlignment="1">
      <alignment horizontal="right" vertical="center"/>
    </xf>
    <xf numFmtId="4" fontId="94" fillId="11" borderId="6" xfId="66" applyNumberFormat="1" applyFont="1" applyFill="1" applyBorder="1" applyAlignment="1">
      <alignment horizontal="right"/>
    </xf>
    <xf numFmtId="4" fontId="96" fillId="0" borderId="6" xfId="66" applyNumberFormat="1" applyFont="1" applyBorder="1" applyAlignment="1">
      <alignment horizontal="right" vertical="center"/>
    </xf>
    <xf numFmtId="4" fontId="96" fillId="5" borderId="6" xfId="66" applyNumberFormat="1" applyFont="1" applyFill="1" applyBorder="1" applyAlignment="1">
      <alignment horizontal="right" vertical="center"/>
    </xf>
    <xf numFmtId="4" fontId="96" fillId="11" borderId="6" xfId="66" applyNumberFormat="1" applyFont="1" applyFill="1" applyBorder="1" applyAlignment="1">
      <alignment horizontal="right" vertical="center"/>
    </xf>
    <xf numFmtId="4" fontId="12" fillId="5" borderId="31" xfId="66" applyNumberFormat="1" applyFont="1" applyFill="1" applyBorder="1" applyAlignment="1">
      <alignment horizontal="right" vertical="center" shrinkToFit="1"/>
    </xf>
    <xf numFmtId="4" fontId="1" fillId="5" borderId="3" xfId="66" applyNumberFormat="1" applyFill="1" applyBorder="1" applyAlignment="1">
      <alignment horizontal="right" vertical="center"/>
    </xf>
    <xf numFmtId="4" fontId="1" fillId="5" borderId="27" xfId="66" applyNumberFormat="1" applyFill="1" applyBorder="1" applyAlignment="1">
      <alignment horizontal="right" vertical="center"/>
    </xf>
    <xf numFmtId="4" fontId="1" fillId="5" borderId="27" xfId="66" applyNumberFormat="1" applyFill="1" applyBorder="1" applyAlignment="1">
      <alignment horizontal="right"/>
    </xf>
    <xf numFmtId="4" fontId="1" fillId="0" borderId="3" xfId="66" applyNumberFormat="1" applyBorder="1" applyAlignment="1">
      <alignment horizontal="right" vertical="center"/>
    </xf>
    <xf numFmtId="4" fontId="1" fillId="0" borderId="27" xfId="66" applyNumberFormat="1" applyBorder="1" applyAlignment="1">
      <alignment horizontal="right" vertical="center"/>
    </xf>
    <xf numFmtId="4" fontId="94" fillId="0" borderId="6" xfId="66" applyNumberFormat="1" applyFont="1" applyBorder="1" applyAlignment="1">
      <alignment horizontal="right" vertical="center"/>
    </xf>
    <xf numFmtId="4" fontId="94" fillId="0" borderId="6" xfId="66" applyNumberFormat="1" applyFont="1" applyBorder="1" applyAlignment="1">
      <alignment horizontal="right"/>
    </xf>
    <xf numFmtId="4" fontId="99" fillId="0" borderId="6" xfId="66" applyNumberFormat="1" applyFont="1" applyBorder="1" applyAlignment="1">
      <alignment horizontal="right" vertical="top"/>
    </xf>
    <xf numFmtId="4" fontId="99" fillId="0" borderId="6" xfId="66" applyNumberFormat="1" applyFont="1" applyBorder="1" applyAlignment="1">
      <alignment horizontal="right" vertical="center"/>
    </xf>
    <xf numFmtId="4" fontId="1" fillId="0" borderId="6" xfId="66" applyNumberFormat="1" applyBorder="1" applyAlignment="1">
      <alignment horizontal="right" vertical="center"/>
    </xf>
    <xf numFmtId="4" fontId="1" fillId="0" borderId="6" xfId="66" applyNumberFormat="1" applyBorder="1" applyAlignment="1">
      <alignment horizontal="right"/>
    </xf>
    <xf numFmtId="4" fontId="12" fillId="0" borderId="3" xfId="66" applyNumberFormat="1" applyFont="1" applyBorder="1" applyAlignment="1">
      <alignment horizontal="right" vertical="center" shrinkToFit="1"/>
    </xf>
    <xf numFmtId="4" fontId="96" fillId="0" borderId="6" xfId="66" applyNumberFormat="1" applyFont="1" applyBorder="1" applyAlignment="1">
      <alignment horizontal="right" vertical="center" wrapText="1"/>
    </xf>
    <xf numFmtId="4" fontId="96" fillId="12" borderId="6" xfId="66" applyNumberFormat="1" applyFont="1" applyFill="1" applyBorder="1" applyAlignment="1" applyProtection="1">
      <alignment horizontal="right" vertical="center"/>
      <protection locked="0"/>
    </xf>
    <xf numFmtId="4" fontId="96" fillId="0" borderId="31" xfId="66" applyNumberFormat="1" applyFont="1" applyBorder="1" applyAlignment="1">
      <alignment horizontal="right" vertical="center" wrapText="1"/>
    </xf>
    <xf numFmtId="4" fontId="96" fillId="12" borderId="31" xfId="66" applyNumberFormat="1" applyFont="1" applyFill="1" applyBorder="1" applyAlignment="1" applyProtection="1">
      <alignment horizontal="right" vertical="center"/>
      <protection locked="0"/>
    </xf>
    <xf numFmtId="4" fontId="52" fillId="0" borderId="3" xfId="66" applyNumberFormat="1" applyFont="1" applyBorder="1" applyAlignment="1">
      <alignment horizontal="right" vertical="center"/>
    </xf>
    <xf numFmtId="4" fontId="52" fillId="0" borderId="27" xfId="66" applyNumberFormat="1" applyFont="1" applyBorder="1" applyAlignment="1">
      <alignment horizontal="right" vertical="center"/>
    </xf>
    <xf numFmtId="4" fontId="100" fillId="11" borderId="6" xfId="66" applyNumberFormat="1" applyFont="1" applyFill="1" applyBorder="1" applyAlignment="1">
      <alignment horizontal="right" vertical="center"/>
    </xf>
    <xf numFmtId="4" fontId="100" fillId="11" borderId="6" xfId="66" applyNumberFormat="1" applyFont="1" applyFill="1" applyBorder="1" applyAlignment="1">
      <alignment horizontal="right"/>
    </xf>
    <xf numFmtId="4" fontId="3" fillId="12" borderId="6" xfId="66" applyNumberFormat="1" applyFont="1" applyFill="1" applyBorder="1" applyAlignment="1" applyProtection="1">
      <alignment horizontal="right" vertical="center"/>
      <protection locked="0"/>
    </xf>
    <xf numFmtId="4" fontId="1" fillId="0" borderId="35" xfId="66" applyNumberFormat="1" applyBorder="1" applyAlignment="1">
      <alignment horizontal="right" vertical="center"/>
    </xf>
    <xf numFmtId="4" fontId="1" fillId="0" borderId="37" xfId="66" applyNumberFormat="1" applyBorder="1" applyAlignment="1">
      <alignment horizontal="right" vertical="center"/>
    </xf>
    <xf numFmtId="4" fontId="101" fillId="0" borderId="40" xfId="66" applyNumberFormat="1" applyFont="1" applyBorder="1" applyAlignment="1">
      <alignment horizontal="right" vertical="center"/>
    </xf>
    <xf numFmtId="4" fontId="101" fillId="0" borderId="42" xfId="66" applyNumberFormat="1" applyFont="1" applyBorder="1" applyAlignment="1">
      <alignment horizontal="right" vertical="center"/>
    </xf>
    <xf numFmtId="4" fontId="101" fillId="0" borderId="44" xfId="66" applyNumberFormat="1" applyFont="1" applyBorder="1" applyAlignment="1">
      <alignment horizontal="right" vertical="center"/>
    </xf>
    <xf numFmtId="4" fontId="101" fillId="0" borderId="47" xfId="66" applyNumberFormat="1" applyFont="1" applyBorder="1" applyAlignment="1">
      <alignment horizontal="right" vertical="center"/>
    </xf>
    <xf numFmtId="4" fontId="101" fillId="0" borderId="35" xfId="66" applyNumberFormat="1" applyFont="1" applyBorder="1" applyAlignment="1">
      <alignment horizontal="right" vertical="center"/>
    </xf>
    <xf numFmtId="4" fontId="101" fillId="0" borderId="37" xfId="66" applyNumberFormat="1" applyFont="1" applyBorder="1" applyAlignment="1">
      <alignment horizontal="right" vertical="center"/>
    </xf>
    <xf numFmtId="4" fontId="101" fillId="0" borderId="50" xfId="66" applyNumberFormat="1" applyFont="1" applyBorder="1" applyAlignment="1">
      <alignment horizontal="right" vertical="center"/>
    </xf>
    <xf numFmtId="4" fontId="1" fillId="0" borderId="0" xfId="66" applyNumberFormat="1" applyAlignment="1" applyProtection="1">
      <alignment horizontal="right" vertical="center"/>
      <protection locked="0"/>
    </xf>
    <xf numFmtId="0" fontId="50" fillId="0" borderId="0" xfId="65" applyFont="1" applyAlignment="1">
      <alignment vertical="center"/>
    </xf>
    <xf numFmtId="0" fontId="49" fillId="0" borderId="0" xfId="65"/>
    <xf numFmtId="0" fontId="54" fillId="6" borderId="0" xfId="65" applyFont="1" applyFill="1" applyAlignment="1">
      <alignment vertical="center"/>
    </xf>
    <xf numFmtId="0" fontId="50" fillId="0" borderId="0" xfId="65" applyFont="1" applyAlignment="1">
      <alignment horizontal="center" vertical="center"/>
    </xf>
    <xf numFmtId="0" fontId="56" fillId="0" borderId="0" xfId="65" applyFont="1" applyAlignment="1">
      <alignment horizontal="center" vertical="center"/>
    </xf>
    <xf numFmtId="0" fontId="57" fillId="0" borderId="0" xfId="65" applyFont="1" applyAlignment="1">
      <alignment horizontal="left" vertical="center"/>
    </xf>
    <xf numFmtId="0" fontId="49" fillId="0" borderId="0" xfId="65" applyAlignment="1">
      <alignment vertical="center"/>
    </xf>
    <xf numFmtId="0" fontId="58" fillId="0" borderId="0" xfId="65" applyFont="1" applyAlignment="1">
      <alignment vertical="center"/>
    </xf>
    <xf numFmtId="0" fontId="59" fillId="0" borderId="0" xfId="65" applyFont="1" applyAlignment="1">
      <alignment horizontal="right" vertical="center"/>
    </xf>
    <xf numFmtId="0" fontId="49" fillId="0" borderId="25" xfId="65" applyBorder="1"/>
    <xf numFmtId="0" fontId="62" fillId="0" borderId="9" xfId="65" applyFont="1" applyBorder="1"/>
    <xf numFmtId="0" fontId="49" fillId="0" borderId="10" xfId="65" applyBorder="1"/>
    <xf numFmtId="0" fontId="49" fillId="0" borderId="9" xfId="65" applyBorder="1"/>
    <xf numFmtId="0" fontId="49" fillId="0" borderId="10" xfId="65" applyBorder="1" applyAlignment="1">
      <alignment horizontal="center"/>
    </xf>
    <xf numFmtId="0" fontId="49" fillId="0" borderId="9" xfId="65" applyBorder="1" applyAlignment="1">
      <alignment horizontal="center"/>
    </xf>
    <xf numFmtId="0" fontId="49" fillId="0" borderId="0" xfId="65" applyAlignment="1">
      <alignment horizontal="center"/>
    </xf>
    <xf numFmtId="0" fontId="63" fillId="8" borderId="9" xfId="65" applyFont="1" applyFill="1" applyBorder="1" applyAlignment="1">
      <alignment horizontal="center" vertical="center"/>
    </xf>
    <xf numFmtId="0" fontId="64" fillId="8" borderId="0" xfId="65" applyFont="1" applyFill="1" applyAlignment="1">
      <alignment vertical="center"/>
    </xf>
    <xf numFmtId="0" fontId="49" fillId="8" borderId="0" xfId="65" applyFill="1"/>
    <xf numFmtId="4" fontId="49" fillId="8" borderId="0" xfId="65" applyNumberFormat="1" applyFill="1"/>
    <xf numFmtId="4" fontId="49" fillId="8" borderId="0" xfId="65" applyNumberFormat="1" applyFill="1" applyAlignment="1">
      <alignment horizontal="center"/>
    </xf>
    <xf numFmtId="4" fontId="49" fillId="8" borderId="10" xfId="65" applyNumberFormat="1" applyFill="1" applyBorder="1" applyAlignment="1">
      <alignment horizontal="center"/>
    </xf>
    <xf numFmtId="0" fontId="65" fillId="9" borderId="25" xfId="65" applyFont="1" applyFill="1" applyBorder="1" applyAlignment="1">
      <alignment horizontal="center"/>
    </xf>
    <xf numFmtId="0" fontId="62" fillId="9" borderId="9" xfId="65" applyFont="1" applyFill="1" applyBorder="1"/>
    <xf numFmtId="0" fontId="49" fillId="9" borderId="0" xfId="65" applyFill="1"/>
    <xf numFmtId="0" fontId="49" fillId="9" borderId="10" xfId="65" applyFill="1" applyBorder="1"/>
    <xf numFmtId="4" fontId="49" fillId="9" borderId="9" xfId="65" applyNumberFormat="1" applyFill="1" applyBorder="1"/>
    <xf numFmtId="4" fontId="49" fillId="9" borderId="10" xfId="65" applyNumberFormat="1" applyFill="1" applyBorder="1"/>
    <xf numFmtId="4" fontId="49" fillId="9" borderId="0" xfId="65" applyNumberFormat="1" applyFill="1"/>
    <xf numFmtId="4" fontId="49" fillId="9" borderId="10" xfId="65" applyNumberFormat="1" applyFill="1" applyBorder="1" applyAlignment="1">
      <alignment horizontal="center"/>
    </xf>
    <xf numFmtId="4" fontId="49" fillId="9" borderId="9" xfId="65" applyNumberFormat="1" applyFill="1" applyBorder="1" applyAlignment="1">
      <alignment horizontal="center"/>
    </xf>
    <xf numFmtId="4" fontId="49" fillId="9" borderId="0" xfId="65" applyNumberFormat="1" applyFill="1" applyAlignment="1">
      <alignment horizontal="center"/>
    </xf>
    <xf numFmtId="4" fontId="49" fillId="0" borderId="9" xfId="65" applyNumberFormat="1" applyBorder="1"/>
    <xf numFmtId="4" fontId="49" fillId="0" borderId="10" xfId="65" applyNumberFormat="1" applyBorder="1"/>
    <xf numFmtId="4" fontId="49" fillId="0" borderId="0" xfId="65" applyNumberFormat="1"/>
    <xf numFmtId="4" fontId="49" fillId="0" borderId="10" xfId="65" applyNumberFormat="1" applyBorder="1" applyAlignment="1">
      <alignment horizontal="center"/>
    </xf>
    <xf numFmtId="4" fontId="49" fillId="0" borderId="9" xfId="65" applyNumberFormat="1" applyBorder="1" applyAlignment="1">
      <alignment horizontal="center" vertical="top"/>
    </xf>
    <xf numFmtId="4" fontId="49" fillId="0" borderId="0" xfId="65" applyNumberFormat="1" applyAlignment="1">
      <alignment horizontal="center" vertical="top"/>
    </xf>
    <xf numFmtId="4" fontId="49" fillId="0" borderId="10" xfId="65" applyNumberFormat="1" applyBorder="1" applyAlignment="1">
      <alignment horizontal="center" vertical="top"/>
    </xf>
    <xf numFmtId="0" fontId="49" fillId="0" borderId="0" xfId="65" applyAlignment="1">
      <alignment horizontal="center" vertical="top"/>
    </xf>
    <xf numFmtId="0" fontId="66" fillId="0" borderId="25" xfId="65" applyFont="1" applyBorder="1" applyAlignment="1">
      <alignment horizontal="center" vertical="top"/>
    </xf>
    <xf numFmtId="0" fontId="66" fillId="0" borderId="0" xfId="65" applyFont="1"/>
    <xf numFmtId="0" fontId="70" fillId="0" borderId="25" xfId="65" applyFont="1" applyBorder="1" applyAlignment="1">
      <alignment horizontal="center" vertical="top"/>
    </xf>
    <xf numFmtId="0" fontId="70" fillId="0" borderId="0" xfId="65" applyFont="1"/>
    <xf numFmtId="0" fontId="49" fillId="0" borderId="6" xfId="65" applyBorder="1" applyAlignment="1">
      <alignment horizontal="center" vertical="top"/>
    </xf>
    <xf numFmtId="0" fontId="72" fillId="0" borderId="25" xfId="65" applyFont="1" applyBorder="1" applyAlignment="1">
      <alignment horizontal="center"/>
    </xf>
    <xf numFmtId="0" fontId="72" fillId="0" borderId="9" xfId="65" applyFont="1" applyBorder="1" applyAlignment="1">
      <alignment horizontal="center"/>
    </xf>
    <xf numFmtId="0" fontId="72" fillId="0" borderId="0" xfId="65" applyFont="1" applyAlignment="1">
      <alignment horizontal="center"/>
    </xf>
    <xf numFmtId="0" fontId="72" fillId="0" borderId="10" xfId="65" applyFont="1" applyBorder="1" applyAlignment="1">
      <alignment horizontal="center"/>
    </xf>
    <xf numFmtId="4" fontId="72" fillId="0" borderId="9" xfId="65" applyNumberFormat="1" applyFont="1" applyBorder="1" applyAlignment="1">
      <alignment horizontal="center"/>
    </xf>
    <xf numFmtId="4" fontId="72" fillId="0" borderId="10" xfId="65" applyNumberFormat="1" applyFont="1" applyBorder="1" applyAlignment="1">
      <alignment horizontal="center"/>
    </xf>
    <xf numFmtId="4" fontId="72" fillId="0" borderId="0" xfId="65" applyNumberFormat="1" applyFont="1" applyAlignment="1">
      <alignment horizontal="center"/>
    </xf>
    <xf numFmtId="4" fontId="49" fillId="0" borderId="9" xfId="65" applyNumberFormat="1" applyBorder="1" applyAlignment="1">
      <alignment horizontal="center"/>
    </xf>
    <xf numFmtId="4" fontId="49" fillId="0" borderId="0" xfId="65" applyNumberFormat="1" applyAlignment="1">
      <alignment horizontal="center"/>
    </xf>
    <xf numFmtId="0" fontId="66" fillId="0" borderId="0" xfId="65" applyFont="1" applyAlignment="1">
      <alignment wrapText="1"/>
    </xf>
    <xf numFmtId="0" fontId="49" fillId="0" borderId="6" xfId="65" applyBorder="1"/>
    <xf numFmtId="0" fontId="74" fillId="0" borderId="0" xfId="65" applyFont="1"/>
    <xf numFmtId="0" fontId="49" fillId="0" borderId="2" xfId="65" applyBorder="1" applyAlignment="1">
      <alignment horizontal="center" vertical="top"/>
    </xf>
    <xf numFmtId="0" fontId="49" fillId="0" borderId="2" xfId="65" applyBorder="1" applyAlignment="1">
      <alignment horizontal="left" vertical="top" wrapText="1"/>
    </xf>
    <xf numFmtId="0" fontId="49" fillId="0" borderId="0" xfId="65" applyAlignment="1">
      <alignment horizontal="left" vertical="top" wrapText="1"/>
    </xf>
    <xf numFmtId="0" fontId="65" fillId="0" borderId="0" xfId="65" applyFont="1" applyAlignment="1">
      <alignment horizontal="center" vertical="top"/>
    </xf>
    <xf numFmtId="0" fontId="62" fillId="0" borderId="0" xfId="65" applyFont="1"/>
    <xf numFmtId="0" fontId="66" fillId="0" borderId="0" xfId="65" applyFont="1" applyAlignment="1">
      <alignment horizontal="center"/>
    </xf>
    <xf numFmtId="0" fontId="66" fillId="0" borderId="0" xfId="65" applyFont="1" applyAlignment="1">
      <alignment horizontal="center" vertical="top"/>
    </xf>
    <xf numFmtId="0" fontId="65" fillId="0" borderId="0" xfId="65" applyFont="1"/>
    <xf numFmtId="4" fontId="62" fillId="0" borderId="0" xfId="65" applyNumberFormat="1" applyFont="1" applyAlignment="1">
      <alignment horizontal="right"/>
    </xf>
    <xf numFmtId="0" fontId="49" fillId="0" borderId="0" xfId="65" applyAlignment="1">
      <alignment horizontal="right"/>
    </xf>
    <xf numFmtId="0" fontId="42" fillId="0" borderId="0" xfId="65" applyFont="1"/>
    <xf numFmtId="0" fontId="39" fillId="3" borderId="0" xfId="65" applyFont="1" applyFill="1" applyAlignment="1">
      <alignment horizontal="left"/>
    </xf>
    <xf numFmtId="0" fontId="42" fillId="0" borderId="0" xfId="65" applyFont="1" applyAlignment="1">
      <alignment horizontal="right"/>
    </xf>
    <xf numFmtId="0" fontId="39" fillId="0" borderId="0" xfId="65" applyFont="1" applyAlignment="1">
      <alignment horizontal="left"/>
    </xf>
    <xf numFmtId="0" fontId="63" fillId="0" borderId="28" xfId="65" applyFont="1" applyBorder="1" applyAlignment="1">
      <alignment horizontal="left" vertical="center"/>
    </xf>
    <xf numFmtId="0" fontId="63" fillId="0" borderId="29" xfId="65" applyFont="1" applyBorder="1" applyAlignment="1">
      <alignment horizontal="left" vertical="center"/>
    </xf>
    <xf numFmtId="0" fontId="63" fillId="0" borderId="30" xfId="65" applyFont="1" applyBorder="1" applyAlignment="1">
      <alignment horizontal="left" vertical="center"/>
    </xf>
    <xf numFmtId="0" fontId="8" fillId="5" borderId="0" xfId="0" applyFont="1" applyFill="1" applyAlignment="1">
      <alignment vertical="top" wrapText="1"/>
    </xf>
    <xf numFmtId="0" fontId="7" fillId="0" borderId="0" xfId="0" applyFont="1" applyAlignment="1">
      <alignment horizontal="justify" vertical="top" wrapText="1"/>
    </xf>
    <xf numFmtId="0" fontId="29" fillId="0" borderId="0" xfId="15" applyFont="1"/>
    <xf numFmtId="2" fontId="3" fillId="0" borderId="0" xfId="15" applyNumberFormat="1" applyAlignment="1">
      <alignment horizontal="left" vertical="top" wrapText="1" shrinkToFit="1" readingOrder="1"/>
    </xf>
    <xf numFmtId="2" fontId="40" fillId="0" borderId="0" xfId="15" applyNumberFormat="1" applyFont="1" applyAlignment="1">
      <alignment horizontal="left" vertical="top" wrapText="1" shrinkToFit="1" readingOrder="1"/>
    </xf>
    <xf numFmtId="0" fontId="6" fillId="0" borderId="0" xfId="19" applyFont="1" applyAlignment="1">
      <alignment horizontal="center" vertical="top" wrapText="1"/>
    </xf>
    <xf numFmtId="49" fontId="3" fillId="0" borderId="0" xfId="15" applyNumberFormat="1" applyAlignment="1">
      <alignment horizontal="left" vertical="top" wrapText="1"/>
    </xf>
    <xf numFmtId="0" fontId="3" fillId="0" borderId="0" xfId="15" applyAlignment="1">
      <alignment horizontal="left" vertical="top" wrapText="1"/>
    </xf>
    <xf numFmtId="0" fontId="4" fillId="0" borderId="0" xfId="15" applyFont="1" applyAlignment="1">
      <alignment horizontal="left" vertical="top" wrapText="1"/>
    </xf>
    <xf numFmtId="0" fontId="3" fillId="0" borderId="0" xfId="15" applyAlignment="1">
      <alignment horizontal="left" vertical="top"/>
    </xf>
    <xf numFmtId="0" fontId="11" fillId="0" borderId="0" xfId="15" applyFont="1" applyAlignment="1">
      <alignment horizontal="left" vertical="top"/>
    </xf>
    <xf numFmtId="2" fontId="3" fillId="0" borderId="0" xfId="15" applyNumberFormat="1" applyAlignment="1">
      <alignment horizontal="justify" vertical="top" wrapText="1" shrinkToFit="1" readingOrder="1"/>
    </xf>
    <xf numFmtId="0" fontId="3" fillId="0" borderId="0" xfId="0" applyFont="1" applyAlignment="1">
      <alignment vertical="top" wrapText="1"/>
    </xf>
    <xf numFmtId="0" fontId="15" fillId="0" borderId="0" xfId="0" applyFont="1" applyAlignment="1">
      <alignment horizontal="justify" vertical="top" wrapText="1"/>
    </xf>
    <xf numFmtId="0" fontId="29" fillId="0" borderId="0" xfId="0" applyFont="1" applyAlignment="1">
      <alignment horizontal="justify" vertical="top" wrapText="1"/>
    </xf>
    <xf numFmtId="0" fontId="3" fillId="0" borderId="0" xfId="0" applyFont="1" applyAlignment="1">
      <alignment horizontal="justify" vertical="top" wrapText="1"/>
    </xf>
    <xf numFmtId="0" fontId="3" fillId="0" borderId="0" xfId="0" applyFont="1" applyAlignment="1">
      <alignment horizontal="left" vertical="top" wrapText="1"/>
    </xf>
    <xf numFmtId="0" fontId="7" fillId="0" borderId="0" xfId="0" applyFont="1" applyAlignment="1">
      <alignment vertical="top" wrapText="1"/>
    </xf>
    <xf numFmtId="0" fontId="29" fillId="0" borderId="0" xfId="0" applyFont="1" applyAlignment="1">
      <alignment vertical="top" wrapText="1"/>
    </xf>
    <xf numFmtId="0" fontId="3" fillId="0" borderId="0" xfId="19" applyAlignment="1">
      <alignment horizontal="left" vertical="top" wrapText="1"/>
    </xf>
    <xf numFmtId="0" fontId="7" fillId="0" borderId="0" xfId="19" applyFont="1" applyAlignment="1">
      <alignment horizontal="left" vertical="top" wrapText="1"/>
    </xf>
    <xf numFmtId="4" fontId="3" fillId="5" borderId="0" xfId="19" applyNumberFormat="1" applyFill="1"/>
    <xf numFmtId="0" fontId="3" fillId="5" borderId="0" xfId="19" applyFill="1" applyAlignment="1">
      <alignment horizontal="left" vertical="top" wrapText="1"/>
    </xf>
    <xf numFmtId="0" fontId="29" fillId="0" borderId="0" xfId="0" applyFont="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justify" vertical="top" wrapText="1"/>
    </xf>
    <xf numFmtId="0" fontId="3" fillId="5" borderId="0" xfId="19" applyFill="1"/>
    <xf numFmtId="4" fontId="30" fillId="0" borderId="0" xfId="19" applyNumberFormat="1" applyFont="1" applyAlignment="1">
      <alignment vertical="top" wrapText="1"/>
    </xf>
    <xf numFmtId="0" fontId="4" fillId="0" borderId="0" xfId="19" applyFont="1" applyAlignment="1">
      <alignment vertical="top" wrapText="1"/>
    </xf>
    <xf numFmtId="4" fontId="3" fillId="0" borderId="0" xfId="19" applyNumberFormat="1" applyAlignment="1">
      <alignment vertical="top" wrapText="1"/>
    </xf>
    <xf numFmtId="4" fontId="3" fillId="0" borderId="0" xfId="19" applyNumberFormat="1"/>
    <xf numFmtId="0" fontId="4" fillId="0" borderId="0" xfId="19" applyFont="1" applyAlignment="1">
      <alignment horizontal="center" vertical="top"/>
    </xf>
    <xf numFmtId="0" fontId="4" fillId="5" borderId="0" xfId="19" applyFont="1" applyFill="1" applyAlignment="1">
      <alignment vertical="top" wrapText="1"/>
    </xf>
    <xf numFmtId="0" fontId="32" fillId="0" borderId="0" xfId="19" applyFont="1" applyAlignment="1">
      <alignment horizontal="left" vertical="top" wrapText="1"/>
    </xf>
    <xf numFmtId="0" fontId="29" fillId="0" borderId="0" xfId="19" applyFont="1" applyAlignment="1">
      <alignment horizontal="left" vertical="top" wrapText="1"/>
    </xf>
    <xf numFmtId="0" fontId="11" fillId="0" borderId="0" xfId="19" applyFont="1" applyAlignment="1">
      <alignment horizontal="center"/>
    </xf>
    <xf numFmtId="0" fontId="3" fillId="0" borderId="0" xfId="19" applyAlignment="1">
      <alignment horizontal="left"/>
    </xf>
    <xf numFmtId="0" fontId="6" fillId="5" borderId="0" xfId="19" applyFont="1" applyFill="1" applyAlignment="1">
      <alignment horizontal="center"/>
    </xf>
    <xf numFmtId="0" fontId="3" fillId="5" borderId="0" xfId="19" applyFill="1" applyAlignment="1">
      <alignment horizontal="center"/>
    </xf>
    <xf numFmtId="0" fontId="6" fillId="0" borderId="0" xfId="15" applyFont="1" applyAlignment="1">
      <alignment horizontal="center" vertical="center" wrapText="1"/>
    </xf>
    <xf numFmtId="0" fontId="4" fillId="0" borderId="0" xfId="19" applyFont="1" applyAlignment="1">
      <alignment horizontal="left" vertical="top" wrapText="1"/>
    </xf>
    <xf numFmtId="4" fontId="30" fillId="5" borderId="0" xfId="19" applyNumberFormat="1" applyFont="1" applyFill="1" applyAlignment="1">
      <alignment vertical="top" wrapText="1"/>
    </xf>
    <xf numFmtId="4" fontId="3" fillId="5" borderId="0" xfId="19" applyNumberFormat="1" applyFill="1" applyAlignment="1">
      <alignment vertical="top" wrapText="1"/>
    </xf>
    <xf numFmtId="0" fontId="4" fillId="0" borderId="0" xfId="0" applyFont="1" applyAlignment="1">
      <alignment horizontal="center" vertical="center" wrapText="1"/>
    </xf>
    <xf numFmtId="0" fontId="4" fillId="0" borderId="0" xfId="19" applyFont="1" applyAlignment="1">
      <alignment horizontal="justify" vertical="top" wrapText="1"/>
    </xf>
    <xf numFmtId="0" fontId="15" fillId="0" borderId="0" xfId="27" applyFont="1" applyAlignment="1">
      <alignment horizontal="justify" vertical="top" wrapText="1"/>
    </xf>
    <xf numFmtId="0" fontId="29" fillId="0" borderId="0" xfId="27" applyFont="1"/>
    <xf numFmtId="0" fontId="7" fillId="0" borderId="0" xfId="0" applyFont="1" applyAlignment="1">
      <alignment horizontal="justify" wrapText="1"/>
    </xf>
    <xf numFmtId="0" fontId="131" fillId="0" borderId="0" xfId="0" applyFont="1" applyAlignment="1">
      <alignment horizontal="justify" vertical="top" wrapText="1"/>
    </xf>
    <xf numFmtId="0" fontId="3" fillId="0" borderId="0" xfId="19" applyAlignment="1">
      <alignment wrapText="1"/>
    </xf>
    <xf numFmtId="0" fontId="15" fillId="0" borderId="0" xfId="0" applyFont="1" applyAlignment="1">
      <alignment horizontal="left" vertical="top" wrapText="1"/>
    </xf>
    <xf numFmtId="0" fontId="7" fillId="0" borderId="0" xfId="0" applyFont="1" applyAlignment="1">
      <alignment wrapText="1"/>
    </xf>
    <xf numFmtId="0" fontId="7" fillId="0" borderId="0" xfId="0" applyFont="1"/>
    <xf numFmtId="0" fontId="29" fillId="0" borderId="0" xfId="0" applyFont="1" applyAlignment="1">
      <alignment wrapText="1"/>
    </xf>
    <xf numFmtId="0" fontId="7" fillId="0" borderId="0" xfId="0" applyFont="1" applyAlignment="1">
      <alignment horizontal="justify" vertical="top"/>
    </xf>
    <xf numFmtId="0" fontId="30" fillId="0" borderId="0" xfId="0" applyFont="1" applyAlignment="1">
      <alignment vertical="top" wrapText="1"/>
    </xf>
    <xf numFmtId="0" fontId="4" fillId="0" borderId="0" xfId="0" applyFont="1" applyAlignment="1">
      <alignment vertical="top" wrapText="1"/>
    </xf>
    <xf numFmtId="0" fontId="6" fillId="0" borderId="0" xfId="19" applyFont="1" applyAlignment="1">
      <alignment horizontal="center"/>
    </xf>
    <xf numFmtId="0" fontId="103" fillId="0" borderId="0" xfId="61" applyFont="1" applyAlignment="1">
      <alignment horizontal="left" vertical="center"/>
    </xf>
    <xf numFmtId="0" fontId="104" fillId="0" borderId="0" xfId="61" applyFont="1" applyAlignment="1">
      <alignment horizontal="left" vertical="center"/>
    </xf>
    <xf numFmtId="0" fontId="107" fillId="0" borderId="0" xfId="30" applyFont="1" applyAlignment="1">
      <alignment horizontal="justify" vertical="top" wrapText="1"/>
    </xf>
    <xf numFmtId="0" fontId="102" fillId="0" borderId="0" xfId="61" applyFont="1" applyAlignment="1">
      <alignment horizontal="left" vertical="center"/>
    </xf>
    <xf numFmtId="0" fontId="105" fillId="0" borderId="33" xfId="30" applyFont="1" applyBorder="1" applyAlignment="1">
      <alignment horizontal="center" vertical="center" wrapText="1"/>
    </xf>
    <xf numFmtId="0" fontId="105" fillId="0" borderId="34" xfId="30" applyFont="1" applyBorder="1" applyAlignment="1">
      <alignment horizontal="center" vertical="center"/>
    </xf>
    <xf numFmtId="0" fontId="105" fillId="0" borderId="35" xfId="30" applyFont="1" applyBorder="1" applyAlignment="1">
      <alignment horizontal="center" vertical="center"/>
    </xf>
    <xf numFmtId="0" fontId="105" fillId="0" borderId="36" xfId="30" applyFont="1" applyBorder="1" applyAlignment="1">
      <alignment horizontal="center" vertical="center"/>
    </xf>
    <xf numFmtId="0" fontId="105" fillId="0" borderId="0" xfId="30" applyFont="1" applyAlignment="1">
      <alignment horizontal="center" vertical="center"/>
    </xf>
    <xf numFmtId="0" fontId="105" fillId="0" borderId="37" xfId="30" applyFont="1" applyBorder="1" applyAlignment="1">
      <alignment horizontal="center" vertical="center"/>
    </xf>
    <xf numFmtId="0" fontId="105" fillId="0" borderId="48" xfId="30" applyFont="1" applyBorder="1" applyAlignment="1">
      <alignment horizontal="center" vertical="center"/>
    </xf>
    <xf numFmtId="0" fontId="105" fillId="0" borderId="49" xfId="30" applyFont="1" applyBorder="1" applyAlignment="1">
      <alignment horizontal="center" vertical="center"/>
    </xf>
    <xf numFmtId="0" fontId="105" fillId="0" borderId="50" xfId="30" applyFont="1" applyBorder="1" applyAlignment="1">
      <alignment horizontal="center" vertical="center"/>
    </xf>
    <xf numFmtId="0" fontId="104" fillId="0" borderId="0" xfId="30" applyFont="1" applyAlignment="1">
      <alignment horizontal="left" vertical="center"/>
    </xf>
    <xf numFmtId="0" fontId="107" fillId="0" borderId="0" xfId="30" applyFont="1" applyAlignment="1">
      <alignment horizontal="justify" vertical="top"/>
    </xf>
    <xf numFmtId="0" fontId="107" fillId="0" borderId="0" xfId="30" applyFont="1" applyAlignment="1">
      <alignment horizontal="justify" vertical="center"/>
    </xf>
    <xf numFmtId="0" fontId="107" fillId="0" borderId="0" xfId="30" applyFont="1" applyAlignment="1">
      <alignment horizontal="justify" vertical="center" wrapText="1"/>
    </xf>
    <xf numFmtId="0" fontId="107" fillId="0" borderId="0" xfId="30" applyFont="1" applyAlignment="1">
      <alignment horizontal="left" vertical="top" wrapText="1"/>
    </xf>
    <xf numFmtId="4" fontId="108" fillId="13" borderId="0" xfId="73" applyNumberFormat="1" applyFont="1" applyFill="1" applyBorder="1" applyAlignment="1" applyProtection="1">
      <alignment horizontal="center" vertical="center"/>
    </xf>
    <xf numFmtId="0" fontId="112" fillId="0" borderId="0" xfId="30" applyFont="1" applyAlignment="1">
      <alignment horizontal="justify" wrapText="1"/>
    </xf>
    <xf numFmtId="0" fontId="107" fillId="0" borderId="1" xfId="78" applyFont="1" applyBorder="1" applyAlignment="1">
      <alignment horizontal="justify" vertical="top" wrapText="1"/>
    </xf>
    <xf numFmtId="0" fontId="103" fillId="13" borderId="26" xfId="30" applyFont="1" applyFill="1" applyBorder="1" applyAlignment="1">
      <alignment horizontal="center" vertical="center"/>
    </xf>
    <xf numFmtId="0" fontId="103" fillId="13" borderId="3" xfId="30" applyFont="1" applyFill="1" applyBorder="1" applyAlignment="1">
      <alignment horizontal="center" vertical="center"/>
    </xf>
    <xf numFmtId="0" fontId="103" fillId="13" borderId="27" xfId="30" applyFont="1" applyFill="1" applyBorder="1" applyAlignment="1">
      <alignment horizontal="center" vertical="center"/>
    </xf>
    <xf numFmtId="0" fontId="107" fillId="0" borderId="0" xfId="78" applyFont="1" applyAlignment="1">
      <alignment horizontal="justify" vertical="top" wrapText="1"/>
    </xf>
    <xf numFmtId="0" fontId="83" fillId="0" borderId="0" xfId="66" applyFont="1" applyAlignment="1">
      <alignment horizontal="center" vertical="center" wrapText="1"/>
    </xf>
    <xf numFmtId="0" fontId="83" fillId="0" borderId="0" xfId="66" applyFont="1" applyAlignment="1">
      <alignment vertical="center" wrapText="1"/>
    </xf>
    <xf numFmtId="0" fontId="82" fillId="0" borderId="0" xfId="66" applyFont="1" applyAlignment="1">
      <alignment horizontal="center" vertical="center" wrapText="1"/>
    </xf>
    <xf numFmtId="49" fontId="14" fillId="0" borderId="0" xfId="66" applyNumberFormat="1" applyFont="1" applyAlignment="1">
      <alignment horizontal="center" vertical="center" wrapText="1"/>
    </xf>
    <xf numFmtId="0" fontId="14" fillId="0" borderId="0" xfId="66" applyFont="1" applyAlignment="1">
      <alignment horizontal="left" vertical="top" wrapText="1"/>
    </xf>
    <xf numFmtId="2" fontId="83" fillId="0" borderId="0" xfId="67" applyNumberFormat="1" applyFont="1" applyFill="1" applyBorder="1" applyAlignment="1" applyProtection="1">
      <alignment horizontal="right" vertical="center" wrapText="1"/>
    </xf>
    <xf numFmtId="2" fontId="14" fillId="12" borderId="0" xfId="67" applyNumberFormat="1" applyFont="1" applyFill="1" applyBorder="1" applyAlignment="1" applyProtection="1">
      <alignment horizontal="right" vertical="center" wrapText="1"/>
      <protection locked="0"/>
    </xf>
    <xf numFmtId="2" fontId="14" fillId="0" borderId="0" xfId="67" applyNumberFormat="1" applyFont="1" applyFill="1" applyBorder="1" applyAlignment="1" applyProtection="1">
      <alignment horizontal="right" vertical="center" wrapText="1"/>
    </xf>
    <xf numFmtId="0" fontId="14" fillId="0" borderId="0" xfId="66" applyFont="1" applyAlignment="1">
      <alignment horizontal="center" vertical="center"/>
    </xf>
    <xf numFmtId="2" fontId="85" fillId="0" borderId="0" xfId="66" applyNumberFormat="1" applyFont="1" applyAlignment="1">
      <alignment horizontal="right" vertical="center"/>
    </xf>
    <xf numFmtId="2" fontId="14" fillId="12" borderId="0" xfId="68" applyNumberFormat="1" applyFont="1" applyFill="1" applyBorder="1" applyAlignment="1" applyProtection="1">
      <alignment horizontal="right" vertical="center" wrapText="1"/>
      <protection locked="0"/>
    </xf>
    <xf numFmtId="2" fontId="83" fillId="0" borderId="0" xfId="68" applyNumberFormat="1" applyFont="1" applyFill="1" applyBorder="1" applyAlignment="1" applyProtection="1">
      <alignment horizontal="right" vertical="center" wrapText="1"/>
    </xf>
    <xf numFmtId="0" fontId="60" fillId="0" borderId="13" xfId="65" applyFont="1" applyBorder="1" applyAlignment="1">
      <alignment horizontal="center" vertical="top" wrapText="1"/>
    </xf>
    <xf numFmtId="0" fontId="60" fillId="0" borderId="18" xfId="65" applyFont="1" applyBorder="1" applyAlignment="1">
      <alignment horizontal="center" vertical="top" wrapText="1"/>
    </xf>
    <xf numFmtId="0" fontId="61" fillId="0" borderId="14" xfId="65" applyFont="1" applyBorder="1" applyAlignment="1">
      <alignment horizontal="center" vertical="top" wrapText="1" shrinkToFit="1"/>
    </xf>
    <xf numFmtId="0" fontId="61" fillId="0" borderId="15" xfId="65" applyFont="1" applyBorder="1" applyAlignment="1">
      <alignment horizontal="center" vertical="top" wrapText="1" shrinkToFit="1"/>
    </xf>
    <xf numFmtId="0" fontId="61" fillId="0" borderId="16" xfId="65" applyFont="1" applyBorder="1" applyAlignment="1">
      <alignment horizontal="center" vertical="top" wrapText="1" shrinkToFit="1"/>
    </xf>
    <xf numFmtId="0" fontId="61" fillId="0" borderId="19" xfId="65" applyFont="1" applyBorder="1" applyAlignment="1">
      <alignment horizontal="center" vertical="top" wrapText="1" shrinkToFit="1"/>
    </xf>
    <xf numFmtId="0" fontId="61" fillId="0" borderId="20" xfId="65" applyFont="1" applyBorder="1" applyAlignment="1">
      <alignment horizontal="center" vertical="top" wrapText="1" shrinkToFit="1"/>
    </xf>
    <xf numFmtId="0" fontId="61" fillId="0" borderId="21" xfId="65" applyFont="1" applyBorder="1" applyAlignment="1">
      <alignment horizontal="center" vertical="top" wrapText="1" shrinkToFit="1"/>
    </xf>
    <xf numFmtId="0" fontId="61" fillId="0" borderId="14" xfId="65" applyFont="1" applyBorder="1" applyAlignment="1">
      <alignment horizontal="center" vertical="top" wrapText="1"/>
    </xf>
    <xf numFmtId="0" fontId="61" fillId="0" borderId="16" xfId="65" applyFont="1" applyBorder="1" applyAlignment="1">
      <alignment horizontal="center" vertical="top" wrapText="1"/>
    </xf>
    <xf numFmtId="0" fontId="61" fillId="0" borderId="19" xfId="65" applyFont="1" applyBorder="1" applyAlignment="1">
      <alignment horizontal="center" vertical="top" wrapText="1"/>
    </xf>
    <xf numFmtId="0" fontId="61" fillId="0" borderId="21" xfId="65" applyFont="1" applyBorder="1" applyAlignment="1">
      <alignment horizontal="center" vertical="top" wrapText="1"/>
    </xf>
    <xf numFmtId="0" fontId="61" fillId="0" borderId="14" xfId="65" applyFont="1" applyBorder="1" applyAlignment="1">
      <alignment horizontal="center" vertical="top"/>
    </xf>
    <xf numFmtId="0" fontId="61" fillId="0" borderId="16" xfId="65" applyFont="1" applyBorder="1" applyAlignment="1">
      <alignment horizontal="center" vertical="top"/>
    </xf>
    <xf numFmtId="0" fontId="61" fillId="0" borderId="19" xfId="65" applyFont="1" applyBorder="1" applyAlignment="1">
      <alignment horizontal="center" vertical="top"/>
    </xf>
    <xf numFmtId="0" fontId="61" fillId="0" borderId="21" xfId="65" applyFont="1" applyBorder="1" applyAlignment="1">
      <alignment horizontal="center" vertical="top"/>
    </xf>
    <xf numFmtId="0" fontId="61" fillId="0" borderId="14" xfId="65" applyFont="1" applyBorder="1" applyAlignment="1">
      <alignment horizontal="center"/>
    </xf>
    <xf numFmtId="0" fontId="61" fillId="0" borderId="15" xfId="65" applyFont="1" applyBorder="1" applyAlignment="1">
      <alignment horizontal="center"/>
    </xf>
    <xf numFmtId="0" fontId="61" fillId="0" borderId="17" xfId="65" applyFont="1" applyBorder="1" applyAlignment="1">
      <alignment horizontal="center"/>
    </xf>
    <xf numFmtId="0" fontId="61" fillId="0" borderId="22" xfId="65" applyFont="1" applyBorder="1" applyAlignment="1">
      <alignment horizontal="center"/>
    </xf>
    <xf numFmtId="0" fontId="61" fillId="0" borderId="4" xfId="65" applyFont="1" applyBorder="1" applyAlignment="1">
      <alignment horizontal="center"/>
    </xf>
    <xf numFmtId="0" fontId="61" fillId="0" borderId="23" xfId="65" applyFont="1" applyBorder="1" applyAlignment="1">
      <alignment horizontal="center"/>
    </xf>
    <xf numFmtId="0" fontId="61" fillId="0" borderId="24" xfId="65" applyFont="1" applyBorder="1" applyAlignment="1">
      <alignment horizontal="center"/>
    </xf>
    <xf numFmtId="0" fontId="66" fillId="0" borderId="9" xfId="65" applyFont="1" applyBorder="1" applyAlignment="1">
      <alignment horizontal="justify" vertical="top" wrapText="1"/>
    </xf>
    <xf numFmtId="0" fontId="66" fillId="0" borderId="0" xfId="65" applyFont="1" applyAlignment="1">
      <alignment horizontal="justify" vertical="top" wrapText="1"/>
    </xf>
    <xf numFmtId="0" fontId="66" fillId="0" borderId="10" xfId="65" applyFont="1" applyBorder="1" applyAlignment="1">
      <alignment horizontal="justify" vertical="top" wrapText="1"/>
    </xf>
    <xf numFmtId="4" fontId="66" fillId="0" borderId="9" xfId="65" applyNumberFormat="1" applyFont="1" applyBorder="1" applyAlignment="1">
      <alignment horizontal="center"/>
    </xf>
    <xf numFmtId="4" fontId="66" fillId="0" borderId="10" xfId="65" applyNumberFormat="1" applyFont="1" applyBorder="1" applyAlignment="1">
      <alignment horizontal="center"/>
    </xf>
    <xf numFmtId="4" fontId="66" fillId="12" borderId="9" xfId="65" applyNumberFormat="1" applyFont="1" applyFill="1" applyBorder="1" applyAlignment="1" applyProtection="1">
      <alignment horizontal="center"/>
      <protection locked="0"/>
    </xf>
    <xf numFmtId="4" fontId="66" fillId="12" borderId="0" xfId="65" applyNumberFormat="1" applyFont="1" applyFill="1" applyAlignment="1" applyProtection="1">
      <alignment horizontal="center"/>
      <protection locked="0"/>
    </xf>
    <xf numFmtId="4" fontId="66" fillId="12" borderId="10" xfId="65" applyNumberFormat="1" applyFont="1" applyFill="1" applyBorder="1" applyAlignment="1" applyProtection="1">
      <alignment horizontal="center"/>
      <protection locked="0"/>
    </xf>
    <xf numFmtId="4" fontId="66" fillId="0" borderId="0" xfId="65" applyNumberFormat="1" applyFont="1" applyAlignment="1">
      <alignment horizontal="center"/>
    </xf>
    <xf numFmtId="0" fontId="51" fillId="0" borderId="0" xfId="65" applyFont="1" applyAlignment="1">
      <alignment horizontal="center" vertical="center"/>
    </xf>
    <xf numFmtId="49" fontId="52" fillId="0" borderId="7" xfId="65" applyNumberFormat="1" applyFont="1" applyBorder="1" applyAlignment="1">
      <alignment horizontal="center" vertical="center"/>
    </xf>
    <xf numFmtId="0" fontId="52" fillId="0" borderId="2" xfId="65" applyFont="1" applyBorder="1" applyAlignment="1">
      <alignment horizontal="center" vertical="center"/>
    </xf>
    <xf numFmtId="0" fontId="52" fillId="0" borderId="8" xfId="65" applyFont="1" applyBorder="1" applyAlignment="1">
      <alignment horizontal="center" vertical="center"/>
    </xf>
    <xf numFmtId="0" fontId="52" fillId="0" borderId="9" xfId="65" applyFont="1" applyBorder="1" applyAlignment="1">
      <alignment horizontal="center" vertical="center"/>
    </xf>
    <xf numFmtId="0" fontId="52" fillId="0" borderId="0" xfId="65" applyFont="1" applyAlignment="1">
      <alignment horizontal="center" vertical="center"/>
    </xf>
    <xf numFmtId="0" fontId="52" fillId="0" borderId="10" xfId="65" applyFont="1" applyBorder="1" applyAlignment="1">
      <alignment horizontal="center" vertical="center"/>
    </xf>
    <xf numFmtId="0" fontId="53" fillId="0" borderId="0" xfId="65" applyFont="1" applyAlignment="1">
      <alignment horizontal="center" vertical="center" shrinkToFit="1"/>
    </xf>
    <xf numFmtId="49" fontId="52" fillId="0" borderId="9" xfId="65" applyNumberFormat="1" applyFont="1" applyBorder="1" applyAlignment="1">
      <alignment horizontal="center" vertical="center"/>
    </xf>
    <xf numFmtId="0" fontId="52" fillId="0" borderId="11" xfId="65" applyFont="1" applyBorder="1" applyAlignment="1">
      <alignment horizontal="center" vertical="center"/>
    </xf>
    <xf numFmtId="0" fontId="52" fillId="0" borderId="1" xfId="65" applyFont="1" applyBorder="1" applyAlignment="1">
      <alignment horizontal="center" vertical="center"/>
    </xf>
    <xf numFmtId="0" fontId="52" fillId="0" borderId="12" xfId="65" applyFont="1" applyBorder="1" applyAlignment="1">
      <alignment horizontal="center" vertical="center"/>
    </xf>
    <xf numFmtId="0" fontId="55" fillId="7" borderId="0" xfId="65" applyFont="1" applyFill="1" applyAlignment="1">
      <alignment horizontal="center" vertical="center"/>
    </xf>
    <xf numFmtId="0" fontId="66" fillId="0" borderId="9" xfId="65" applyFont="1" applyBorder="1" applyAlignment="1">
      <alignment horizontal="left" vertical="top" wrapText="1"/>
    </xf>
    <xf numFmtId="0" fontId="66" fillId="0" borderId="0" xfId="65" applyFont="1" applyAlignment="1">
      <alignment horizontal="left" vertical="top" wrapText="1"/>
    </xf>
    <xf numFmtId="0" fontId="66" fillId="0" borderId="10" xfId="65" applyFont="1" applyBorder="1" applyAlignment="1">
      <alignment horizontal="left" vertical="top" wrapText="1"/>
    </xf>
    <xf numFmtId="0" fontId="70" fillId="0" borderId="9" xfId="65" applyFont="1" applyBorder="1" applyAlignment="1">
      <alignment horizontal="left" vertical="top" wrapText="1"/>
    </xf>
    <xf numFmtId="0" fontId="70" fillId="0" borderId="0" xfId="65" applyFont="1" applyAlignment="1">
      <alignment horizontal="left" vertical="top" wrapText="1"/>
    </xf>
    <xf numFmtId="0" fontId="70" fillId="0" borderId="10" xfId="65" applyFont="1" applyBorder="1" applyAlignment="1">
      <alignment horizontal="left" vertical="top" wrapText="1"/>
    </xf>
    <xf numFmtId="4" fontId="70" fillId="0" borderId="9" xfId="65" applyNumberFormat="1" applyFont="1" applyBorder="1" applyAlignment="1">
      <alignment horizontal="center"/>
    </xf>
    <xf numFmtId="4" fontId="70" fillId="0" borderId="10" xfId="65" applyNumberFormat="1" applyFont="1" applyBorder="1" applyAlignment="1">
      <alignment horizontal="center"/>
    </xf>
    <xf numFmtId="4" fontId="70" fillId="0" borderId="0" xfId="65" applyNumberFormat="1" applyFont="1" applyAlignment="1">
      <alignment horizontal="center"/>
    </xf>
    <xf numFmtId="0" fontId="62" fillId="0" borderId="26" xfId="65" applyFont="1" applyBorder="1" applyAlignment="1">
      <alignment horizontal="right"/>
    </xf>
    <xf numFmtId="0" fontId="62" fillId="0" borderId="3" xfId="65" applyFont="1" applyBorder="1" applyAlignment="1">
      <alignment horizontal="right"/>
    </xf>
    <xf numFmtId="0" fontId="62" fillId="0" borderId="27" xfId="65" applyFont="1" applyBorder="1" applyAlignment="1">
      <alignment horizontal="right"/>
    </xf>
    <xf numFmtId="4" fontId="71" fillId="0" borderId="26" xfId="65" applyNumberFormat="1" applyFont="1" applyBorder="1" applyAlignment="1">
      <alignment horizontal="right"/>
    </xf>
    <xf numFmtId="4" fontId="71" fillId="0" borderId="3" xfId="65" applyNumberFormat="1" applyFont="1" applyBorder="1" applyAlignment="1">
      <alignment horizontal="right"/>
    </xf>
    <xf numFmtId="4" fontId="71" fillId="0" borderId="27" xfId="65" applyNumberFormat="1" applyFont="1" applyBorder="1" applyAlignment="1">
      <alignment horizontal="right"/>
    </xf>
    <xf numFmtId="0" fontId="70" fillId="0" borderId="9" xfId="65" quotePrefix="1" applyFont="1" applyBorder="1" applyAlignment="1">
      <alignment horizontal="left" vertical="top" wrapText="1"/>
    </xf>
    <xf numFmtId="0" fontId="73" fillId="0" borderId="3" xfId="65" applyFont="1" applyBorder="1" applyAlignment="1">
      <alignment horizontal="right"/>
    </xf>
    <xf numFmtId="0" fontId="73" fillId="0" borderId="27" xfId="65" applyFont="1" applyBorder="1" applyAlignment="1">
      <alignment horizontal="right"/>
    </xf>
    <xf numFmtId="0" fontId="66" fillId="0" borderId="9" xfId="65" quotePrefix="1" applyFont="1" applyBorder="1" applyAlignment="1">
      <alignment horizontal="justify" vertical="top" wrapText="1"/>
    </xf>
    <xf numFmtId="4" fontId="63" fillId="0" borderId="29" xfId="65" applyNumberFormat="1" applyFont="1" applyBorder="1" applyAlignment="1">
      <alignment horizontal="right" vertical="center"/>
    </xf>
    <xf numFmtId="4" fontId="62" fillId="0" borderId="0" xfId="65" applyNumberFormat="1" applyFont="1" applyAlignment="1">
      <alignment horizontal="right"/>
    </xf>
    <xf numFmtId="4" fontId="39" fillId="3" borderId="0" xfId="65" applyNumberFormat="1" applyFont="1" applyFill="1" applyAlignment="1">
      <alignment horizontal="right"/>
    </xf>
    <xf numFmtId="4" fontId="42" fillId="0" borderId="0" xfId="65" applyNumberFormat="1" applyFont="1" applyAlignment="1">
      <alignment horizontal="right"/>
    </xf>
    <xf numFmtId="0" fontId="81" fillId="0" borderId="20" xfId="65" applyFont="1" applyBorder="1" applyAlignment="1">
      <alignment horizontal="center"/>
    </xf>
  </cellXfs>
  <cellStyles count="79">
    <cellStyle name="A4 Small 210 x 297 mm" xfId="72" xr:uid="{66CD0EB7-29D5-429B-B781-747D7EFC7FAE}"/>
    <cellStyle name="ColStyle4" xfId="1" xr:uid="{00000000-0005-0000-0000-000000000000}"/>
    <cellStyle name="Comma 2" xfId="2" xr:uid="{00000000-0005-0000-0000-000002000000}"/>
    <cellStyle name="Comma 2 2" xfId="3" xr:uid="{00000000-0005-0000-0000-000003000000}"/>
    <cellStyle name="Comma 2 2 2" xfId="4" xr:uid="{00000000-0005-0000-0000-000004000000}"/>
    <cellStyle name="Comma 2 3" xfId="5" xr:uid="{00000000-0005-0000-0000-000005000000}"/>
    <cellStyle name="Comma 2 3 2" xfId="6" xr:uid="{00000000-0005-0000-0000-000006000000}"/>
    <cellStyle name="Comma 2 4" xfId="7" xr:uid="{00000000-0005-0000-0000-000007000000}"/>
    <cellStyle name="Comma 3" xfId="8" xr:uid="{00000000-0005-0000-0000-000008000000}"/>
    <cellStyle name="Comma 4" xfId="67" xr:uid="{0A78E4F6-9ED6-46AD-BE16-626925EBA711}"/>
    <cellStyle name="Comma 6" xfId="70" xr:uid="{90343A74-12FC-4498-96C6-6759584B3FEF}"/>
    <cellStyle name="Comma_H.KORALJ  i RUBIN - Tender troškovnik za sobe Ver 01. -24.11.05" xfId="73" xr:uid="{1C0057BA-085F-4DAC-9796-F9EE68EE176C}"/>
    <cellStyle name="Comma_Polux Tender troskovnik strojarski" xfId="69" xr:uid="{559C85E5-091E-4B9D-9AE0-52E968CB1D44}"/>
    <cellStyle name="Currency 2" xfId="9" xr:uid="{00000000-0005-0000-0000-000009000000}"/>
    <cellStyle name="Currency 3" xfId="68" xr:uid="{B8A3572C-950C-433D-BA6F-0492DAB9973D}"/>
    <cellStyle name="Excel Built-in Normal" xfId="10" xr:uid="{00000000-0005-0000-0000-00000A000000}"/>
    <cellStyle name="Hiperveza" xfId="71" builtinId="8"/>
    <cellStyle name="kolona C" xfId="11" xr:uid="{00000000-0005-0000-0000-00000B000000}"/>
    <cellStyle name="kolona D" xfId="12" xr:uid="{00000000-0005-0000-0000-00000C000000}"/>
    <cellStyle name="Normal 10" xfId="13" xr:uid="{00000000-0005-0000-0000-00000E000000}"/>
    <cellStyle name="Normal 10 2" xfId="14" xr:uid="{00000000-0005-0000-0000-00000F000000}"/>
    <cellStyle name="Normal 11" xfId="66" xr:uid="{9B7BF017-9999-40AC-B643-4DDEF5AEC614}"/>
    <cellStyle name="Normal 11 2" xfId="15" xr:uid="{00000000-0005-0000-0000-000010000000}"/>
    <cellStyle name="Normal 12" xfId="16" xr:uid="{00000000-0005-0000-0000-000011000000}"/>
    <cellStyle name="Normal 13 2" xfId="17" xr:uid="{00000000-0005-0000-0000-000012000000}"/>
    <cellStyle name="Normal 2" xfId="18" xr:uid="{00000000-0005-0000-0000-000013000000}"/>
    <cellStyle name="Normal 2 2" xfId="19" xr:uid="{00000000-0005-0000-0000-000014000000}"/>
    <cellStyle name="Normal 2 2 2" xfId="20" xr:uid="{00000000-0005-0000-0000-000015000000}"/>
    <cellStyle name="Normal 2 2 3 2" xfId="21" xr:uid="{00000000-0005-0000-0000-000016000000}"/>
    <cellStyle name="Normal 2 2 4" xfId="22" xr:uid="{00000000-0005-0000-0000-000017000000}"/>
    <cellStyle name="Normal 2 3" xfId="23" xr:uid="{00000000-0005-0000-0000-000018000000}"/>
    <cellStyle name="Normal 2 4" xfId="24" xr:uid="{00000000-0005-0000-0000-000019000000}"/>
    <cellStyle name="Normal 2 4 2" xfId="25" xr:uid="{00000000-0005-0000-0000-00001A000000}"/>
    <cellStyle name="Normal 27" xfId="26" xr:uid="{00000000-0005-0000-0000-00001B000000}"/>
    <cellStyle name="Normal 3" xfId="27" xr:uid="{00000000-0005-0000-0000-00001C000000}"/>
    <cellStyle name="Normal 3 2" xfId="28" xr:uid="{00000000-0005-0000-0000-00001D000000}"/>
    <cellStyle name="Normal 3 2 2" xfId="29" xr:uid="{00000000-0005-0000-0000-00001E000000}"/>
    <cellStyle name="Normal 4" xfId="30" xr:uid="{00000000-0005-0000-0000-00001F000000}"/>
    <cellStyle name="Normal 4 2 2" xfId="31" xr:uid="{00000000-0005-0000-0000-000020000000}"/>
    <cellStyle name="Normal 5" xfId="32" xr:uid="{00000000-0005-0000-0000-000021000000}"/>
    <cellStyle name="Normal 5 2" xfId="33" xr:uid="{00000000-0005-0000-0000-000022000000}"/>
    <cellStyle name="Normal 54" xfId="34" xr:uid="{00000000-0005-0000-0000-000023000000}"/>
    <cellStyle name="Normal 55" xfId="35" xr:uid="{00000000-0005-0000-0000-000024000000}"/>
    <cellStyle name="Normal 57" xfId="36" xr:uid="{00000000-0005-0000-0000-000025000000}"/>
    <cellStyle name="Normal 58 2" xfId="77" xr:uid="{1CF761CB-0BD9-4C76-A3AD-A767453239E5}"/>
    <cellStyle name="Normal 6" xfId="37" xr:uid="{00000000-0005-0000-0000-000026000000}"/>
    <cellStyle name="Normal 7" xfId="38" xr:uid="{00000000-0005-0000-0000-000027000000}"/>
    <cellStyle name="Normal 7 2" xfId="39" xr:uid="{00000000-0005-0000-0000-000028000000}"/>
    <cellStyle name="Normal 8" xfId="65" xr:uid="{64099974-5A87-43FB-9B86-5E0086204532}"/>
    <cellStyle name="Normal 8 2" xfId="40" xr:uid="{00000000-0005-0000-0000-000029000000}"/>
    <cellStyle name="Normal 9" xfId="41" xr:uid="{00000000-0005-0000-0000-00002A000000}"/>
    <cellStyle name="Normal 9 2" xfId="76" xr:uid="{44B5B0D4-5614-41CC-8711-54647D58D3C2}"/>
    <cellStyle name="Normal 98" xfId="75" xr:uid="{163C8552-652E-4A5F-8D0A-E617FBE58322}"/>
    <cellStyle name="Normal_H.KORALJ - Klimatizacija soba - Tender troškovnik STROJARSTVO - protect" xfId="74" xr:uid="{45E20287-960F-41A2-9AE4-4199D5916271}"/>
    <cellStyle name="Normal1" xfId="42" xr:uid="{00000000-0005-0000-0000-000041000000}"/>
    <cellStyle name="Normalno" xfId="0" builtinId="0"/>
    <cellStyle name="Normalno 16" xfId="78" xr:uid="{CEB3EB04-0154-4E44-A2DF-385A6F38E664}"/>
    <cellStyle name="Normalno 2" xfId="43" xr:uid="{00000000-0005-0000-0000-000042000000}"/>
    <cellStyle name="Normalno 2 2" xfId="44" xr:uid="{00000000-0005-0000-0000-000043000000}"/>
    <cellStyle name="Normalno 3" xfId="45" xr:uid="{00000000-0005-0000-0000-000044000000}"/>
    <cellStyle name="Normalno 3 2" xfId="46" xr:uid="{00000000-0005-0000-0000-000045000000}"/>
    <cellStyle name="Normalno 4" xfId="47" xr:uid="{00000000-0005-0000-0000-000046000000}"/>
    <cellStyle name="Normalno 5" xfId="48" xr:uid="{00000000-0005-0000-0000-000047000000}"/>
    <cellStyle name="Normalvk" xfId="49" xr:uid="{00000000-0005-0000-0000-000048000000}"/>
    <cellStyle name="Obično 10" xfId="50" xr:uid="{00000000-0005-0000-0000-000049000000}"/>
    <cellStyle name="Obično 10 2" xfId="51" xr:uid="{00000000-0005-0000-0000-00004A000000}"/>
    <cellStyle name="Obično 2" xfId="52" xr:uid="{00000000-0005-0000-0000-00004B000000}"/>
    <cellStyle name="Obično 3" xfId="53" xr:uid="{00000000-0005-0000-0000-00004C000000}"/>
    <cellStyle name="Obično 5 15" xfId="54" xr:uid="{00000000-0005-0000-0000-00004D000000}"/>
    <cellStyle name="Percent 2" xfId="55" xr:uid="{00000000-0005-0000-0000-00004E000000}"/>
    <cellStyle name="PREDG" xfId="56" xr:uid="{00000000-0005-0000-0000-00004F000000}"/>
    <cellStyle name="REKAPITULACIJA" xfId="57" xr:uid="{00000000-0005-0000-0000-000050000000}"/>
    <cellStyle name="REKAPITULACIJA 2" xfId="58" xr:uid="{00000000-0005-0000-0000-000051000000}"/>
    <cellStyle name="STAVKE" xfId="59" xr:uid="{00000000-0005-0000-0000-000052000000}"/>
    <cellStyle name="Stil 1" xfId="60" xr:uid="{00000000-0005-0000-0000-000053000000}"/>
    <cellStyle name="Style 1" xfId="61" xr:uid="{00000000-0005-0000-0000-000054000000}"/>
    <cellStyle name="Style 1 2" xfId="62" xr:uid="{00000000-0005-0000-0000-000055000000}"/>
    <cellStyle name="Zarez 2" xfId="63" xr:uid="{00000000-0005-0000-0000-000056000000}"/>
    <cellStyle name="Zarez 3 23" xfId="64" xr:uid="{00000000-0005-0000-0000-000057000000}"/>
  </cellStyles>
  <dxfs count="0"/>
  <tableStyles count="1" defaultTableStyle="TableStyleMedium9" defaultPivotStyle="PivotStyleLight16">
    <tableStyle name="Invisible" pivot="0" table="0" count="0" xr9:uid="{C8BE0425-DDCF-4BF0-A3FF-EA378FA48A2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1826</xdr:row>
      <xdr:rowOff>0</xdr:rowOff>
    </xdr:from>
    <xdr:to>
      <xdr:col>5</xdr:col>
      <xdr:colOff>438150</xdr:colOff>
      <xdr:row>1828</xdr:row>
      <xdr:rowOff>8469</xdr:rowOff>
    </xdr:to>
    <xdr:sp macro="" textlink="">
      <xdr:nvSpPr>
        <xdr:cNvPr id="27722" name="Text Box 5">
          <a:extLst>
            <a:ext uri="{FF2B5EF4-FFF2-40B4-BE49-F238E27FC236}">
              <a16:creationId xmlns:a16="http://schemas.microsoft.com/office/drawing/2014/main" id="{00000000-0008-0000-0000-00004A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3" name="Text Box 6">
          <a:extLst>
            <a:ext uri="{FF2B5EF4-FFF2-40B4-BE49-F238E27FC236}">
              <a16:creationId xmlns:a16="http://schemas.microsoft.com/office/drawing/2014/main" id="{00000000-0008-0000-0000-00004B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4" name="Text Box 7">
          <a:extLst>
            <a:ext uri="{FF2B5EF4-FFF2-40B4-BE49-F238E27FC236}">
              <a16:creationId xmlns:a16="http://schemas.microsoft.com/office/drawing/2014/main" id="{00000000-0008-0000-0000-00004C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5" name="Text Box 8">
          <a:extLst>
            <a:ext uri="{FF2B5EF4-FFF2-40B4-BE49-F238E27FC236}">
              <a16:creationId xmlns:a16="http://schemas.microsoft.com/office/drawing/2014/main" id="{00000000-0008-0000-0000-00004D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6" name="Text Box 9">
          <a:extLst>
            <a:ext uri="{FF2B5EF4-FFF2-40B4-BE49-F238E27FC236}">
              <a16:creationId xmlns:a16="http://schemas.microsoft.com/office/drawing/2014/main" id="{00000000-0008-0000-0000-00004E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7" name="Text Box 10">
          <a:extLst>
            <a:ext uri="{FF2B5EF4-FFF2-40B4-BE49-F238E27FC236}">
              <a16:creationId xmlns:a16="http://schemas.microsoft.com/office/drawing/2014/main" id="{00000000-0008-0000-0000-00004F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8" name="Text Box 11">
          <a:extLst>
            <a:ext uri="{FF2B5EF4-FFF2-40B4-BE49-F238E27FC236}">
              <a16:creationId xmlns:a16="http://schemas.microsoft.com/office/drawing/2014/main" id="{00000000-0008-0000-0000-000050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9" name="Text Box 12">
          <a:extLst>
            <a:ext uri="{FF2B5EF4-FFF2-40B4-BE49-F238E27FC236}">
              <a16:creationId xmlns:a16="http://schemas.microsoft.com/office/drawing/2014/main" id="{00000000-0008-0000-0000-000051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0" name="Text Box 13">
          <a:extLst>
            <a:ext uri="{FF2B5EF4-FFF2-40B4-BE49-F238E27FC236}">
              <a16:creationId xmlns:a16="http://schemas.microsoft.com/office/drawing/2014/main" id="{00000000-0008-0000-0000-000052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8469</xdr:rowOff>
    </xdr:to>
    <xdr:sp macro="" textlink="">
      <xdr:nvSpPr>
        <xdr:cNvPr id="27731" name="Text Box 14">
          <a:extLst>
            <a:ext uri="{FF2B5EF4-FFF2-40B4-BE49-F238E27FC236}">
              <a16:creationId xmlns:a16="http://schemas.microsoft.com/office/drawing/2014/main" id="{00000000-0008-0000-0000-0000536C0000}"/>
            </a:ext>
          </a:extLst>
        </xdr:cNvPr>
        <xdr:cNvSpPr txBox="1">
          <a:spLocks noChangeArrowheads="1"/>
        </xdr:cNvSpPr>
      </xdr:nvSpPr>
      <xdr:spPr bwMode="auto">
        <a:xfrm>
          <a:off x="3752850" y="2302764000"/>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2" name="Text Box 15">
          <a:extLst>
            <a:ext uri="{FF2B5EF4-FFF2-40B4-BE49-F238E27FC236}">
              <a16:creationId xmlns:a16="http://schemas.microsoft.com/office/drawing/2014/main" id="{00000000-0008-0000-0000-000054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3" name="Text Box 16">
          <a:extLst>
            <a:ext uri="{FF2B5EF4-FFF2-40B4-BE49-F238E27FC236}">
              <a16:creationId xmlns:a16="http://schemas.microsoft.com/office/drawing/2014/main" id="{00000000-0008-0000-0000-000055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4" name="Text Box 17">
          <a:extLst>
            <a:ext uri="{FF2B5EF4-FFF2-40B4-BE49-F238E27FC236}">
              <a16:creationId xmlns:a16="http://schemas.microsoft.com/office/drawing/2014/main" id="{00000000-0008-0000-0000-000056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5" name="Text Box 18">
          <a:extLst>
            <a:ext uri="{FF2B5EF4-FFF2-40B4-BE49-F238E27FC236}">
              <a16:creationId xmlns:a16="http://schemas.microsoft.com/office/drawing/2014/main" id="{00000000-0008-0000-0000-000057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6" name="Text Box 19">
          <a:extLst>
            <a:ext uri="{FF2B5EF4-FFF2-40B4-BE49-F238E27FC236}">
              <a16:creationId xmlns:a16="http://schemas.microsoft.com/office/drawing/2014/main" id="{00000000-0008-0000-0000-000058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7" name="Text Box 20">
          <a:extLst>
            <a:ext uri="{FF2B5EF4-FFF2-40B4-BE49-F238E27FC236}">
              <a16:creationId xmlns:a16="http://schemas.microsoft.com/office/drawing/2014/main" id="{00000000-0008-0000-0000-000059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8" name="Text Box 21">
          <a:extLst>
            <a:ext uri="{FF2B5EF4-FFF2-40B4-BE49-F238E27FC236}">
              <a16:creationId xmlns:a16="http://schemas.microsoft.com/office/drawing/2014/main" id="{00000000-0008-0000-0000-00005A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9" name="Text Box 22">
          <a:extLst>
            <a:ext uri="{FF2B5EF4-FFF2-40B4-BE49-F238E27FC236}">
              <a16:creationId xmlns:a16="http://schemas.microsoft.com/office/drawing/2014/main" id="{00000000-0008-0000-0000-00005B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0" name="Text Box 7">
          <a:extLst>
            <a:ext uri="{FF2B5EF4-FFF2-40B4-BE49-F238E27FC236}">
              <a16:creationId xmlns:a16="http://schemas.microsoft.com/office/drawing/2014/main" id="{00000000-0008-0000-0000-00005C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1" name="Text Box 8">
          <a:extLst>
            <a:ext uri="{FF2B5EF4-FFF2-40B4-BE49-F238E27FC236}">
              <a16:creationId xmlns:a16="http://schemas.microsoft.com/office/drawing/2014/main" id="{00000000-0008-0000-0000-00005D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2" name="Text Box 9">
          <a:extLst>
            <a:ext uri="{FF2B5EF4-FFF2-40B4-BE49-F238E27FC236}">
              <a16:creationId xmlns:a16="http://schemas.microsoft.com/office/drawing/2014/main" id="{00000000-0008-0000-0000-00005E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3" name="Text Box 10">
          <a:extLst>
            <a:ext uri="{FF2B5EF4-FFF2-40B4-BE49-F238E27FC236}">
              <a16:creationId xmlns:a16="http://schemas.microsoft.com/office/drawing/2014/main" id="{00000000-0008-0000-0000-00005F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4" name="Text Box 11">
          <a:extLst>
            <a:ext uri="{FF2B5EF4-FFF2-40B4-BE49-F238E27FC236}">
              <a16:creationId xmlns:a16="http://schemas.microsoft.com/office/drawing/2014/main" id="{00000000-0008-0000-0000-000060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5" name="Text Box 12">
          <a:extLst>
            <a:ext uri="{FF2B5EF4-FFF2-40B4-BE49-F238E27FC236}">
              <a16:creationId xmlns:a16="http://schemas.microsoft.com/office/drawing/2014/main" id="{00000000-0008-0000-0000-000061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6" name="Text Box 13">
          <a:extLst>
            <a:ext uri="{FF2B5EF4-FFF2-40B4-BE49-F238E27FC236}">
              <a16:creationId xmlns:a16="http://schemas.microsoft.com/office/drawing/2014/main" id="{00000000-0008-0000-0000-000062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8469</xdr:rowOff>
    </xdr:to>
    <xdr:sp macro="" textlink="">
      <xdr:nvSpPr>
        <xdr:cNvPr id="27747" name="Text Box 14">
          <a:extLst>
            <a:ext uri="{FF2B5EF4-FFF2-40B4-BE49-F238E27FC236}">
              <a16:creationId xmlns:a16="http://schemas.microsoft.com/office/drawing/2014/main" id="{00000000-0008-0000-0000-0000636C0000}"/>
            </a:ext>
          </a:extLst>
        </xdr:cNvPr>
        <xdr:cNvSpPr txBox="1">
          <a:spLocks noChangeArrowheads="1"/>
        </xdr:cNvSpPr>
      </xdr:nvSpPr>
      <xdr:spPr bwMode="auto">
        <a:xfrm>
          <a:off x="3752850" y="2302764000"/>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8" name="Text Box 15">
          <a:extLst>
            <a:ext uri="{FF2B5EF4-FFF2-40B4-BE49-F238E27FC236}">
              <a16:creationId xmlns:a16="http://schemas.microsoft.com/office/drawing/2014/main" id="{00000000-0008-0000-0000-000064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49" name="Text Box 5">
          <a:extLst>
            <a:ext uri="{FF2B5EF4-FFF2-40B4-BE49-F238E27FC236}">
              <a16:creationId xmlns:a16="http://schemas.microsoft.com/office/drawing/2014/main" id="{00000000-0008-0000-0000-000065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3175</xdr:rowOff>
    </xdr:to>
    <xdr:sp macro="" textlink="">
      <xdr:nvSpPr>
        <xdr:cNvPr id="27750" name="Text Box 6">
          <a:extLst>
            <a:ext uri="{FF2B5EF4-FFF2-40B4-BE49-F238E27FC236}">
              <a16:creationId xmlns:a16="http://schemas.microsoft.com/office/drawing/2014/main" id="{00000000-0008-0000-0000-0000666C0000}"/>
            </a:ext>
          </a:extLst>
        </xdr:cNvPr>
        <xdr:cNvSpPr txBox="1">
          <a:spLocks noChangeArrowheads="1"/>
        </xdr:cNvSpPr>
      </xdr:nvSpPr>
      <xdr:spPr bwMode="auto">
        <a:xfrm>
          <a:off x="3752850" y="2303183100"/>
          <a:ext cx="11144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1" name="Text Box 7">
          <a:extLst>
            <a:ext uri="{FF2B5EF4-FFF2-40B4-BE49-F238E27FC236}">
              <a16:creationId xmlns:a16="http://schemas.microsoft.com/office/drawing/2014/main" id="{00000000-0008-0000-0000-000067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2" name="Text Box 8">
          <a:extLst>
            <a:ext uri="{FF2B5EF4-FFF2-40B4-BE49-F238E27FC236}">
              <a16:creationId xmlns:a16="http://schemas.microsoft.com/office/drawing/2014/main" id="{00000000-0008-0000-0000-000068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3" name="Text Box 9">
          <a:extLst>
            <a:ext uri="{FF2B5EF4-FFF2-40B4-BE49-F238E27FC236}">
              <a16:creationId xmlns:a16="http://schemas.microsoft.com/office/drawing/2014/main" id="{00000000-0008-0000-0000-000069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4" name="Text Box 10">
          <a:extLst>
            <a:ext uri="{FF2B5EF4-FFF2-40B4-BE49-F238E27FC236}">
              <a16:creationId xmlns:a16="http://schemas.microsoft.com/office/drawing/2014/main" id="{00000000-0008-0000-0000-00006A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5" name="Text Box 11">
          <a:extLst>
            <a:ext uri="{FF2B5EF4-FFF2-40B4-BE49-F238E27FC236}">
              <a16:creationId xmlns:a16="http://schemas.microsoft.com/office/drawing/2014/main" id="{00000000-0008-0000-0000-00006B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6" name="Text Box 12">
          <a:extLst>
            <a:ext uri="{FF2B5EF4-FFF2-40B4-BE49-F238E27FC236}">
              <a16:creationId xmlns:a16="http://schemas.microsoft.com/office/drawing/2014/main" id="{00000000-0008-0000-0000-00006C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7" name="Text Box 13">
          <a:extLst>
            <a:ext uri="{FF2B5EF4-FFF2-40B4-BE49-F238E27FC236}">
              <a16:creationId xmlns:a16="http://schemas.microsoft.com/office/drawing/2014/main" id="{00000000-0008-0000-0000-00006D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8466</xdr:rowOff>
    </xdr:to>
    <xdr:sp macro="" textlink="">
      <xdr:nvSpPr>
        <xdr:cNvPr id="27758" name="Text Box 14">
          <a:extLst>
            <a:ext uri="{FF2B5EF4-FFF2-40B4-BE49-F238E27FC236}">
              <a16:creationId xmlns:a16="http://schemas.microsoft.com/office/drawing/2014/main" id="{00000000-0008-0000-0000-00006E6C0000}"/>
            </a:ext>
          </a:extLst>
        </xdr:cNvPr>
        <xdr:cNvSpPr txBox="1">
          <a:spLocks noChangeArrowheads="1"/>
        </xdr:cNvSpPr>
      </xdr:nvSpPr>
      <xdr:spPr bwMode="auto">
        <a:xfrm>
          <a:off x="3752850" y="2303183100"/>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9" name="Text Box 15">
          <a:extLst>
            <a:ext uri="{FF2B5EF4-FFF2-40B4-BE49-F238E27FC236}">
              <a16:creationId xmlns:a16="http://schemas.microsoft.com/office/drawing/2014/main" id="{00000000-0008-0000-0000-00006F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0" name="Text Box 16">
          <a:extLst>
            <a:ext uri="{FF2B5EF4-FFF2-40B4-BE49-F238E27FC236}">
              <a16:creationId xmlns:a16="http://schemas.microsoft.com/office/drawing/2014/main" id="{00000000-0008-0000-0000-000070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1" name="Text Box 17">
          <a:extLst>
            <a:ext uri="{FF2B5EF4-FFF2-40B4-BE49-F238E27FC236}">
              <a16:creationId xmlns:a16="http://schemas.microsoft.com/office/drawing/2014/main" id="{00000000-0008-0000-0000-000071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2" name="Text Box 18">
          <a:extLst>
            <a:ext uri="{FF2B5EF4-FFF2-40B4-BE49-F238E27FC236}">
              <a16:creationId xmlns:a16="http://schemas.microsoft.com/office/drawing/2014/main" id="{00000000-0008-0000-0000-000072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3" name="Text Box 19">
          <a:extLst>
            <a:ext uri="{FF2B5EF4-FFF2-40B4-BE49-F238E27FC236}">
              <a16:creationId xmlns:a16="http://schemas.microsoft.com/office/drawing/2014/main" id="{00000000-0008-0000-0000-000073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4" name="Text Box 20">
          <a:extLst>
            <a:ext uri="{FF2B5EF4-FFF2-40B4-BE49-F238E27FC236}">
              <a16:creationId xmlns:a16="http://schemas.microsoft.com/office/drawing/2014/main" id="{00000000-0008-0000-0000-000074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5" name="Text Box 21">
          <a:extLst>
            <a:ext uri="{FF2B5EF4-FFF2-40B4-BE49-F238E27FC236}">
              <a16:creationId xmlns:a16="http://schemas.microsoft.com/office/drawing/2014/main" id="{00000000-0008-0000-0000-000075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3175</xdr:rowOff>
    </xdr:to>
    <xdr:sp macro="" textlink="">
      <xdr:nvSpPr>
        <xdr:cNvPr id="27766" name="Text Box 22">
          <a:extLst>
            <a:ext uri="{FF2B5EF4-FFF2-40B4-BE49-F238E27FC236}">
              <a16:creationId xmlns:a16="http://schemas.microsoft.com/office/drawing/2014/main" id="{00000000-0008-0000-0000-0000766C0000}"/>
            </a:ext>
          </a:extLst>
        </xdr:cNvPr>
        <xdr:cNvSpPr txBox="1">
          <a:spLocks noChangeArrowheads="1"/>
        </xdr:cNvSpPr>
      </xdr:nvSpPr>
      <xdr:spPr bwMode="auto">
        <a:xfrm>
          <a:off x="3752850" y="2303183100"/>
          <a:ext cx="11144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67" name="Text Box 7">
          <a:extLst>
            <a:ext uri="{FF2B5EF4-FFF2-40B4-BE49-F238E27FC236}">
              <a16:creationId xmlns:a16="http://schemas.microsoft.com/office/drawing/2014/main" id="{00000000-0008-0000-0000-000077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68" name="Text Box 8">
          <a:extLst>
            <a:ext uri="{FF2B5EF4-FFF2-40B4-BE49-F238E27FC236}">
              <a16:creationId xmlns:a16="http://schemas.microsoft.com/office/drawing/2014/main" id="{00000000-0008-0000-0000-000078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69" name="Text Box 9">
          <a:extLst>
            <a:ext uri="{FF2B5EF4-FFF2-40B4-BE49-F238E27FC236}">
              <a16:creationId xmlns:a16="http://schemas.microsoft.com/office/drawing/2014/main" id="{00000000-0008-0000-0000-000079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0" name="Text Box 10">
          <a:extLst>
            <a:ext uri="{FF2B5EF4-FFF2-40B4-BE49-F238E27FC236}">
              <a16:creationId xmlns:a16="http://schemas.microsoft.com/office/drawing/2014/main" id="{00000000-0008-0000-0000-00007A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1" name="Text Box 11">
          <a:extLst>
            <a:ext uri="{FF2B5EF4-FFF2-40B4-BE49-F238E27FC236}">
              <a16:creationId xmlns:a16="http://schemas.microsoft.com/office/drawing/2014/main" id="{00000000-0008-0000-0000-00007B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2" name="Text Box 12">
          <a:extLst>
            <a:ext uri="{FF2B5EF4-FFF2-40B4-BE49-F238E27FC236}">
              <a16:creationId xmlns:a16="http://schemas.microsoft.com/office/drawing/2014/main" id="{00000000-0008-0000-0000-00007C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3" name="Text Box 13">
          <a:extLst>
            <a:ext uri="{FF2B5EF4-FFF2-40B4-BE49-F238E27FC236}">
              <a16:creationId xmlns:a16="http://schemas.microsoft.com/office/drawing/2014/main" id="{00000000-0008-0000-0000-00007D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8466</xdr:rowOff>
    </xdr:to>
    <xdr:sp macro="" textlink="">
      <xdr:nvSpPr>
        <xdr:cNvPr id="27774" name="Text Box 14">
          <a:extLst>
            <a:ext uri="{FF2B5EF4-FFF2-40B4-BE49-F238E27FC236}">
              <a16:creationId xmlns:a16="http://schemas.microsoft.com/office/drawing/2014/main" id="{00000000-0008-0000-0000-00007E6C0000}"/>
            </a:ext>
          </a:extLst>
        </xdr:cNvPr>
        <xdr:cNvSpPr txBox="1">
          <a:spLocks noChangeArrowheads="1"/>
        </xdr:cNvSpPr>
      </xdr:nvSpPr>
      <xdr:spPr bwMode="auto">
        <a:xfrm>
          <a:off x="3752850" y="2303183100"/>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5" name="Text Box 15">
          <a:extLst>
            <a:ext uri="{FF2B5EF4-FFF2-40B4-BE49-F238E27FC236}">
              <a16:creationId xmlns:a16="http://schemas.microsoft.com/office/drawing/2014/main" id="{00000000-0008-0000-0000-00007F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76" name="Text Box 5">
          <a:extLst>
            <a:ext uri="{FF2B5EF4-FFF2-40B4-BE49-F238E27FC236}">
              <a16:creationId xmlns:a16="http://schemas.microsoft.com/office/drawing/2014/main" id="{00000000-0008-0000-0000-000080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19049</xdr:rowOff>
    </xdr:to>
    <xdr:sp macro="" textlink="">
      <xdr:nvSpPr>
        <xdr:cNvPr id="27777" name="Text Box 6">
          <a:extLst>
            <a:ext uri="{FF2B5EF4-FFF2-40B4-BE49-F238E27FC236}">
              <a16:creationId xmlns:a16="http://schemas.microsoft.com/office/drawing/2014/main" id="{00000000-0008-0000-0000-0000816C0000}"/>
            </a:ext>
          </a:extLst>
        </xdr:cNvPr>
        <xdr:cNvSpPr txBox="1">
          <a:spLocks noChangeArrowheads="1"/>
        </xdr:cNvSpPr>
      </xdr:nvSpPr>
      <xdr:spPr bwMode="auto">
        <a:xfrm>
          <a:off x="3752850" y="2299277850"/>
          <a:ext cx="11144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78" name="Text Box 7">
          <a:extLst>
            <a:ext uri="{FF2B5EF4-FFF2-40B4-BE49-F238E27FC236}">
              <a16:creationId xmlns:a16="http://schemas.microsoft.com/office/drawing/2014/main" id="{00000000-0008-0000-0000-000082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79" name="Text Box 8">
          <a:extLst>
            <a:ext uri="{FF2B5EF4-FFF2-40B4-BE49-F238E27FC236}">
              <a16:creationId xmlns:a16="http://schemas.microsoft.com/office/drawing/2014/main" id="{00000000-0008-0000-0000-000083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0" name="Text Box 9">
          <a:extLst>
            <a:ext uri="{FF2B5EF4-FFF2-40B4-BE49-F238E27FC236}">
              <a16:creationId xmlns:a16="http://schemas.microsoft.com/office/drawing/2014/main" id="{00000000-0008-0000-0000-000084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1" name="Text Box 10">
          <a:extLst>
            <a:ext uri="{FF2B5EF4-FFF2-40B4-BE49-F238E27FC236}">
              <a16:creationId xmlns:a16="http://schemas.microsoft.com/office/drawing/2014/main" id="{00000000-0008-0000-0000-000085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2" name="Text Box 11">
          <a:extLst>
            <a:ext uri="{FF2B5EF4-FFF2-40B4-BE49-F238E27FC236}">
              <a16:creationId xmlns:a16="http://schemas.microsoft.com/office/drawing/2014/main" id="{00000000-0008-0000-0000-000086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3" name="Text Box 12">
          <a:extLst>
            <a:ext uri="{FF2B5EF4-FFF2-40B4-BE49-F238E27FC236}">
              <a16:creationId xmlns:a16="http://schemas.microsoft.com/office/drawing/2014/main" id="{00000000-0008-0000-0000-000087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4" name="Text Box 13">
          <a:extLst>
            <a:ext uri="{FF2B5EF4-FFF2-40B4-BE49-F238E27FC236}">
              <a16:creationId xmlns:a16="http://schemas.microsoft.com/office/drawing/2014/main" id="{00000000-0008-0000-0000-000088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1839</xdr:row>
      <xdr:rowOff>38099</xdr:rowOff>
    </xdr:to>
    <xdr:sp macro="" textlink="">
      <xdr:nvSpPr>
        <xdr:cNvPr id="27785" name="Text Box 14">
          <a:extLst>
            <a:ext uri="{FF2B5EF4-FFF2-40B4-BE49-F238E27FC236}">
              <a16:creationId xmlns:a16="http://schemas.microsoft.com/office/drawing/2014/main" id="{00000000-0008-0000-0000-0000896C0000}"/>
            </a:ext>
          </a:extLst>
        </xdr:cNvPr>
        <xdr:cNvSpPr txBox="1">
          <a:spLocks noChangeArrowheads="1"/>
        </xdr:cNvSpPr>
      </xdr:nvSpPr>
      <xdr:spPr bwMode="auto">
        <a:xfrm>
          <a:off x="3752850" y="2299277850"/>
          <a:ext cx="1238250"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6" name="Text Box 15">
          <a:extLst>
            <a:ext uri="{FF2B5EF4-FFF2-40B4-BE49-F238E27FC236}">
              <a16:creationId xmlns:a16="http://schemas.microsoft.com/office/drawing/2014/main" id="{00000000-0008-0000-0000-00008A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7" name="Text Box 16">
          <a:extLst>
            <a:ext uri="{FF2B5EF4-FFF2-40B4-BE49-F238E27FC236}">
              <a16:creationId xmlns:a16="http://schemas.microsoft.com/office/drawing/2014/main" id="{00000000-0008-0000-0000-00008B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8" name="Text Box 17">
          <a:extLst>
            <a:ext uri="{FF2B5EF4-FFF2-40B4-BE49-F238E27FC236}">
              <a16:creationId xmlns:a16="http://schemas.microsoft.com/office/drawing/2014/main" id="{00000000-0008-0000-0000-00008C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9" name="Text Box 18">
          <a:extLst>
            <a:ext uri="{FF2B5EF4-FFF2-40B4-BE49-F238E27FC236}">
              <a16:creationId xmlns:a16="http://schemas.microsoft.com/office/drawing/2014/main" id="{00000000-0008-0000-0000-00008D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0" name="Text Box 19">
          <a:extLst>
            <a:ext uri="{FF2B5EF4-FFF2-40B4-BE49-F238E27FC236}">
              <a16:creationId xmlns:a16="http://schemas.microsoft.com/office/drawing/2014/main" id="{00000000-0008-0000-0000-00008E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1" name="Text Box 20">
          <a:extLst>
            <a:ext uri="{FF2B5EF4-FFF2-40B4-BE49-F238E27FC236}">
              <a16:creationId xmlns:a16="http://schemas.microsoft.com/office/drawing/2014/main" id="{00000000-0008-0000-0000-00008F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2" name="Text Box 21">
          <a:extLst>
            <a:ext uri="{FF2B5EF4-FFF2-40B4-BE49-F238E27FC236}">
              <a16:creationId xmlns:a16="http://schemas.microsoft.com/office/drawing/2014/main" id="{00000000-0008-0000-0000-000090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19049</xdr:rowOff>
    </xdr:to>
    <xdr:sp macro="" textlink="">
      <xdr:nvSpPr>
        <xdr:cNvPr id="27793" name="Text Box 22">
          <a:extLst>
            <a:ext uri="{FF2B5EF4-FFF2-40B4-BE49-F238E27FC236}">
              <a16:creationId xmlns:a16="http://schemas.microsoft.com/office/drawing/2014/main" id="{00000000-0008-0000-0000-0000916C0000}"/>
            </a:ext>
          </a:extLst>
        </xdr:cNvPr>
        <xdr:cNvSpPr txBox="1">
          <a:spLocks noChangeArrowheads="1"/>
        </xdr:cNvSpPr>
      </xdr:nvSpPr>
      <xdr:spPr bwMode="auto">
        <a:xfrm>
          <a:off x="3752850" y="2299277850"/>
          <a:ext cx="11144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4" name="Text Box 7">
          <a:extLst>
            <a:ext uri="{FF2B5EF4-FFF2-40B4-BE49-F238E27FC236}">
              <a16:creationId xmlns:a16="http://schemas.microsoft.com/office/drawing/2014/main" id="{00000000-0008-0000-0000-000092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5" name="Text Box 8">
          <a:extLst>
            <a:ext uri="{FF2B5EF4-FFF2-40B4-BE49-F238E27FC236}">
              <a16:creationId xmlns:a16="http://schemas.microsoft.com/office/drawing/2014/main" id="{00000000-0008-0000-0000-000093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6" name="Text Box 9">
          <a:extLst>
            <a:ext uri="{FF2B5EF4-FFF2-40B4-BE49-F238E27FC236}">
              <a16:creationId xmlns:a16="http://schemas.microsoft.com/office/drawing/2014/main" id="{00000000-0008-0000-0000-000094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7" name="Text Box 10">
          <a:extLst>
            <a:ext uri="{FF2B5EF4-FFF2-40B4-BE49-F238E27FC236}">
              <a16:creationId xmlns:a16="http://schemas.microsoft.com/office/drawing/2014/main" id="{00000000-0008-0000-0000-000095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8" name="Text Box 11">
          <a:extLst>
            <a:ext uri="{FF2B5EF4-FFF2-40B4-BE49-F238E27FC236}">
              <a16:creationId xmlns:a16="http://schemas.microsoft.com/office/drawing/2014/main" id="{00000000-0008-0000-0000-000096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9" name="Text Box 12">
          <a:extLst>
            <a:ext uri="{FF2B5EF4-FFF2-40B4-BE49-F238E27FC236}">
              <a16:creationId xmlns:a16="http://schemas.microsoft.com/office/drawing/2014/main" id="{00000000-0008-0000-0000-000097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800" name="Text Box 13">
          <a:extLst>
            <a:ext uri="{FF2B5EF4-FFF2-40B4-BE49-F238E27FC236}">
              <a16:creationId xmlns:a16="http://schemas.microsoft.com/office/drawing/2014/main" id="{00000000-0008-0000-0000-000098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1839</xdr:row>
      <xdr:rowOff>38099</xdr:rowOff>
    </xdr:to>
    <xdr:sp macro="" textlink="">
      <xdr:nvSpPr>
        <xdr:cNvPr id="27801" name="Text Box 14">
          <a:extLst>
            <a:ext uri="{FF2B5EF4-FFF2-40B4-BE49-F238E27FC236}">
              <a16:creationId xmlns:a16="http://schemas.microsoft.com/office/drawing/2014/main" id="{00000000-0008-0000-0000-0000996C0000}"/>
            </a:ext>
          </a:extLst>
        </xdr:cNvPr>
        <xdr:cNvSpPr txBox="1">
          <a:spLocks noChangeArrowheads="1"/>
        </xdr:cNvSpPr>
      </xdr:nvSpPr>
      <xdr:spPr bwMode="auto">
        <a:xfrm>
          <a:off x="3752850" y="2299277850"/>
          <a:ext cx="1238250"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802" name="Text Box 15">
          <a:extLst>
            <a:ext uri="{FF2B5EF4-FFF2-40B4-BE49-F238E27FC236}">
              <a16:creationId xmlns:a16="http://schemas.microsoft.com/office/drawing/2014/main" id="{00000000-0008-0000-0000-00009A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3" name="Text Box 5">
          <a:extLst>
            <a:ext uri="{FF2B5EF4-FFF2-40B4-BE49-F238E27FC236}">
              <a16:creationId xmlns:a16="http://schemas.microsoft.com/office/drawing/2014/main" id="{00000000-0008-0000-0000-00009B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4" name="Text Box 6">
          <a:extLst>
            <a:ext uri="{FF2B5EF4-FFF2-40B4-BE49-F238E27FC236}">
              <a16:creationId xmlns:a16="http://schemas.microsoft.com/office/drawing/2014/main" id="{00000000-0008-0000-0000-00009C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5" name="Text Box 7">
          <a:extLst>
            <a:ext uri="{FF2B5EF4-FFF2-40B4-BE49-F238E27FC236}">
              <a16:creationId xmlns:a16="http://schemas.microsoft.com/office/drawing/2014/main" id="{00000000-0008-0000-0000-00009D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6" name="Text Box 8">
          <a:extLst>
            <a:ext uri="{FF2B5EF4-FFF2-40B4-BE49-F238E27FC236}">
              <a16:creationId xmlns:a16="http://schemas.microsoft.com/office/drawing/2014/main" id="{00000000-0008-0000-0000-00009E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7" name="Text Box 9">
          <a:extLst>
            <a:ext uri="{FF2B5EF4-FFF2-40B4-BE49-F238E27FC236}">
              <a16:creationId xmlns:a16="http://schemas.microsoft.com/office/drawing/2014/main" id="{00000000-0008-0000-0000-00009F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8" name="Text Box 10">
          <a:extLst>
            <a:ext uri="{FF2B5EF4-FFF2-40B4-BE49-F238E27FC236}">
              <a16:creationId xmlns:a16="http://schemas.microsoft.com/office/drawing/2014/main" id="{00000000-0008-0000-0000-0000A0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9" name="Text Box 11">
          <a:extLst>
            <a:ext uri="{FF2B5EF4-FFF2-40B4-BE49-F238E27FC236}">
              <a16:creationId xmlns:a16="http://schemas.microsoft.com/office/drawing/2014/main" id="{00000000-0008-0000-0000-0000A1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0" name="Text Box 12">
          <a:extLst>
            <a:ext uri="{FF2B5EF4-FFF2-40B4-BE49-F238E27FC236}">
              <a16:creationId xmlns:a16="http://schemas.microsoft.com/office/drawing/2014/main" id="{00000000-0008-0000-0000-0000A2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1" name="Text Box 13">
          <a:extLst>
            <a:ext uri="{FF2B5EF4-FFF2-40B4-BE49-F238E27FC236}">
              <a16:creationId xmlns:a16="http://schemas.microsoft.com/office/drawing/2014/main" id="{00000000-0008-0000-0000-0000A3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1832</xdr:row>
      <xdr:rowOff>76203</xdr:rowOff>
    </xdr:to>
    <xdr:sp macro="" textlink="">
      <xdr:nvSpPr>
        <xdr:cNvPr id="27812" name="Text Box 14">
          <a:extLst>
            <a:ext uri="{FF2B5EF4-FFF2-40B4-BE49-F238E27FC236}">
              <a16:creationId xmlns:a16="http://schemas.microsoft.com/office/drawing/2014/main" id="{00000000-0008-0000-0000-0000A46C0000}"/>
            </a:ext>
          </a:extLst>
        </xdr:cNvPr>
        <xdr:cNvSpPr txBox="1">
          <a:spLocks noChangeArrowheads="1"/>
        </xdr:cNvSpPr>
      </xdr:nvSpPr>
      <xdr:spPr bwMode="auto">
        <a:xfrm>
          <a:off x="3752850" y="2299696950"/>
          <a:ext cx="12382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3" name="Text Box 15">
          <a:extLst>
            <a:ext uri="{FF2B5EF4-FFF2-40B4-BE49-F238E27FC236}">
              <a16:creationId xmlns:a16="http://schemas.microsoft.com/office/drawing/2014/main" id="{00000000-0008-0000-0000-0000A5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4" name="Text Box 16">
          <a:extLst>
            <a:ext uri="{FF2B5EF4-FFF2-40B4-BE49-F238E27FC236}">
              <a16:creationId xmlns:a16="http://schemas.microsoft.com/office/drawing/2014/main" id="{00000000-0008-0000-0000-0000A6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5" name="Text Box 17">
          <a:extLst>
            <a:ext uri="{FF2B5EF4-FFF2-40B4-BE49-F238E27FC236}">
              <a16:creationId xmlns:a16="http://schemas.microsoft.com/office/drawing/2014/main" id="{00000000-0008-0000-0000-0000A7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6" name="Text Box 18">
          <a:extLst>
            <a:ext uri="{FF2B5EF4-FFF2-40B4-BE49-F238E27FC236}">
              <a16:creationId xmlns:a16="http://schemas.microsoft.com/office/drawing/2014/main" id="{00000000-0008-0000-0000-0000A8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7" name="Text Box 19">
          <a:extLst>
            <a:ext uri="{FF2B5EF4-FFF2-40B4-BE49-F238E27FC236}">
              <a16:creationId xmlns:a16="http://schemas.microsoft.com/office/drawing/2014/main" id="{00000000-0008-0000-0000-0000A9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8" name="Text Box 20">
          <a:extLst>
            <a:ext uri="{FF2B5EF4-FFF2-40B4-BE49-F238E27FC236}">
              <a16:creationId xmlns:a16="http://schemas.microsoft.com/office/drawing/2014/main" id="{00000000-0008-0000-0000-0000AA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9" name="Text Box 21">
          <a:extLst>
            <a:ext uri="{FF2B5EF4-FFF2-40B4-BE49-F238E27FC236}">
              <a16:creationId xmlns:a16="http://schemas.microsoft.com/office/drawing/2014/main" id="{00000000-0008-0000-0000-0000AB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0" name="Text Box 22">
          <a:extLst>
            <a:ext uri="{FF2B5EF4-FFF2-40B4-BE49-F238E27FC236}">
              <a16:creationId xmlns:a16="http://schemas.microsoft.com/office/drawing/2014/main" id="{00000000-0008-0000-0000-0000AC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1" name="Text Box 7">
          <a:extLst>
            <a:ext uri="{FF2B5EF4-FFF2-40B4-BE49-F238E27FC236}">
              <a16:creationId xmlns:a16="http://schemas.microsoft.com/office/drawing/2014/main" id="{00000000-0008-0000-0000-0000AD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2" name="Text Box 8">
          <a:extLst>
            <a:ext uri="{FF2B5EF4-FFF2-40B4-BE49-F238E27FC236}">
              <a16:creationId xmlns:a16="http://schemas.microsoft.com/office/drawing/2014/main" id="{00000000-0008-0000-0000-0000AE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3" name="Text Box 9">
          <a:extLst>
            <a:ext uri="{FF2B5EF4-FFF2-40B4-BE49-F238E27FC236}">
              <a16:creationId xmlns:a16="http://schemas.microsoft.com/office/drawing/2014/main" id="{00000000-0008-0000-0000-0000AF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4" name="Text Box 10">
          <a:extLst>
            <a:ext uri="{FF2B5EF4-FFF2-40B4-BE49-F238E27FC236}">
              <a16:creationId xmlns:a16="http://schemas.microsoft.com/office/drawing/2014/main" id="{00000000-0008-0000-0000-0000B0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5" name="Text Box 11">
          <a:extLst>
            <a:ext uri="{FF2B5EF4-FFF2-40B4-BE49-F238E27FC236}">
              <a16:creationId xmlns:a16="http://schemas.microsoft.com/office/drawing/2014/main" id="{00000000-0008-0000-0000-0000B1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6" name="Text Box 12">
          <a:extLst>
            <a:ext uri="{FF2B5EF4-FFF2-40B4-BE49-F238E27FC236}">
              <a16:creationId xmlns:a16="http://schemas.microsoft.com/office/drawing/2014/main" id="{00000000-0008-0000-0000-0000B2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7" name="Text Box 13">
          <a:extLst>
            <a:ext uri="{FF2B5EF4-FFF2-40B4-BE49-F238E27FC236}">
              <a16:creationId xmlns:a16="http://schemas.microsoft.com/office/drawing/2014/main" id="{00000000-0008-0000-0000-0000B3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1832</xdr:row>
      <xdr:rowOff>76203</xdr:rowOff>
    </xdr:to>
    <xdr:sp macro="" textlink="">
      <xdr:nvSpPr>
        <xdr:cNvPr id="27828" name="Text Box 14">
          <a:extLst>
            <a:ext uri="{FF2B5EF4-FFF2-40B4-BE49-F238E27FC236}">
              <a16:creationId xmlns:a16="http://schemas.microsoft.com/office/drawing/2014/main" id="{00000000-0008-0000-0000-0000B46C0000}"/>
            </a:ext>
          </a:extLst>
        </xdr:cNvPr>
        <xdr:cNvSpPr txBox="1">
          <a:spLocks noChangeArrowheads="1"/>
        </xdr:cNvSpPr>
      </xdr:nvSpPr>
      <xdr:spPr bwMode="auto">
        <a:xfrm>
          <a:off x="3752850" y="2299696950"/>
          <a:ext cx="12382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9" name="Text Box 15">
          <a:extLst>
            <a:ext uri="{FF2B5EF4-FFF2-40B4-BE49-F238E27FC236}">
              <a16:creationId xmlns:a16="http://schemas.microsoft.com/office/drawing/2014/main" id="{00000000-0008-0000-0000-0000B5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36" name="Text Box 5">
          <a:extLst>
            <a:ext uri="{FF2B5EF4-FFF2-40B4-BE49-F238E27FC236}">
              <a16:creationId xmlns:a16="http://schemas.microsoft.com/office/drawing/2014/main" id="{00000000-0008-0000-0000-0000BC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37" name="Text Box 6">
          <a:extLst>
            <a:ext uri="{FF2B5EF4-FFF2-40B4-BE49-F238E27FC236}">
              <a16:creationId xmlns:a16="http://schemas.microsoft.com/office/drawing/2014/main" id="{00000000-0008-0000-0000-0000BD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38" name="Text Box 7">
          <a:extLst>
            <a:ext uri="{FF2B5EF4-FFF2-40B4-BE49-F238E27FC236}">
              <a16:creationId xmlns:a16="http://schemas.microsoft.com/office/drawing/2014/main" id="{00000000-0008-0000-0000-0000BE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39" name="Text Box 8">
          <a:extLst>
            <a:ext uri="{FF2B5EF4-FFF2-40B4-BE49-F238E27FC236}">
              <a16:creationId xmlns:a16="http://schemas.microsoft.com/office/drawing/2014/main" id="{00000000-0008-0000-0000-0000BF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0" name="Text Box 9">
          <a:extLst>
            <a:ext uri="{FF2B5EF4-FFF2-40B4-BE49-F238E27FC236}">
              <a16:creationId xmlns:a16="http://schemas.microsoft.com/office/drawing/2014/main" id="{00000000-0008-0000-0000-0000C0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1" name="Text Box 10">
          <a:extLst>
            <a:ext uri="{FF2B5EF4-FFF2-40B4-BE49-F238E27FC236}">
              <a16:creationId xmlns:a16="http://schemas.microsoft.com/office/drawing/2014/main" id="{00000000-0008-0000-0000-0000C1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2" name="Text Box 11">
          <a:extLst>
            <a:ext uri="{FF2B5EF4-FFF2-40B4-BE49-F238E27FC236}">
              <a16:creationId xmlns:a16="http://schemas.microsoft.com/office/drawing/2014/main" id="{00000000-0008-0000-0000-0000C2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3" name="Text Box 12">
          <a:extLst>
            <a:ext uri="{FF2B5EF4-FFF2-40B4-BE49-F238E27FC236}">
              <a16:creationId xmlns:a16="http://schemas.microsoft.com/office/drawing/2014/main" id="{00000000-0008-0000-0000-0000C3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4" name="Text Box 13">
          <a:extLst>
            <a:ext uri="{FF2B5EF4-FFF2-40B4-BE49-F238E27FC236}">
              <a16:creationId xmlns:a16="http://schemas.microsoft.com/office/drawing/2014/main" id="{00000000-0008-0000-0000-0000C4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5041</xdr:rowOff>
    </xdr:to>
    <xdr:sp macro="" textlink="">
      <xdr:nvSpPr>
        <xdr:cNvPr id="27845" name="Text Box 14">
          <a:extLst>
            <a:ext uri="{FF2B5EF4-FFF2-40B4-BE49-F238E27FC236}">
              <a16:creationId xmlns:a16="http://schemas.microsoft.com/office/drawing/2014/main" id="{00000000-0008-0000-0000-0000C56C0000}"/>
            </a:ext>
          </a:extLst>
        </xdr:cNvPr>
        <xdr:cNvSpPr txBox="1">
          <a:spLocks noChangeArrowheads="1"/>
        </xdr:cNvSpPr>
      </xdr:nvSpPr>
      <xdr:spPr bwMode="auto">
        <a:xfrm>
          <a:off x="3752850" y="1320307875"/>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6" name="Text Box 15">
          <a:extLst>
            <a:ext uri="{FF2B5EF4-FFF2-40B4-BE49-F238E27FC236}">
              <a16:creationId xmlns:a16="http://schemas.microsoft.com/office/drawing/2014/main" id="{00000000-0008-0000-0000-0000C6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7" name="Text Box 16">
          <a:extLst>
            <a:ext uri="{FF2B5EF4-FFF2-40B4-BE49-F238E27FC236}">
              <a16:creationId xmlns:a16="http://schemas.microsoft.com/office/drawing/2014/main" id="{00000000-0008-0000-0000-0000C7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8" name="Text Box 17">
          <a:extLst>
            <a:ext uri="{FF2B5EF4-FFF2-40B4-BE49-F238E27FC236}">
              <a16:creationId xmlns:a16="http://schemas.microsoft.com/office/drawing/2014/main" id="{00000000-0008-0000-0000-0000C8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9" name="Text Box 18">
          <a:extLst>
            <a:ext uri="{FF2B5EF4-FFF2-40B4-BE49-F238E27FC236}">
              <a16:creationId xmlns:a16="http://schemas.microsoft.com/office/drawing/2014/main" id="{00000000-0008-0000-0000-0000C9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0" name="Text Box 19">
          <a:extLst>
            <a:ext uri="{FF2B5EF4-FFF2-40B4-BE49-F238E27FC236}">
              <a16:creationId xmlns:a16="http://schemas.microsoft.com/office/drawing/2014/main" id="{00000000-0008-0000-0000-0000CA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1" name="Text Box 20">
          <a:extLst>
            <a:ext uri="{FF2B5EF4-FFF2-40B4-BE49-F238E27FC236}">
              <a16:creationId xmlns:a16="http://schemas.microsoft.com/office/drawing/2014/main" id="{00000000-0008-0000-0000-0000CB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2" name="Text Box 21">
          <a:extLst>
            <a:ext uri="{FF2B5EF4-FFF2-40B4-BE49-F238E27FC236}">
              <a16:creationId xmlns:a16="http://schemas.microsoft.com/office/drawing/2014/main" id="{00000000-0008-0000-0000-0000CC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3" name="Text Box 22">
          <a:extLst>
            <a:ext uri="{FF2B5EF4-FFF2-40B4-BE49-F238E27FC236}">
              <a16:creationId xmlns:a16="http://schemas.microsoft.com/office/drawing/2014/main" id="{00000000-0008-0000-0000-0000CD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4" name="Text Box 7">
          <a:extLst>
            <a:ext uri="{FF2B5EF4-FFF2-40B4-BE49-F238E27FC236}">
              <a16:creationId xmlns:a16="http://schemas.microsoft.com/office/drawing/2014/main" id="{00000000-0008-0000-0000-0000CE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5" name="Text Box 8">
          <a:extLst>
            <a:ext uri="{FF2B5EF4-FFF2-40B4-BE49-F238E27FC236}">
              <a16:creationId xmlns:a16="http://schemas.microsoft.com/office/drawing/2014/main" id="{00000000-0008-0000-0000-0000CF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6" name="Text Box 9">
          <a:extLst>
            <a:ext uri="{FF2B5EF4-FFF2-40B4-BE49-F238E27FC236}">
              <a16:creationId xmlns:a16="http://schemas.microsoft.com/office/drawing/2014/main" id="{00000000-0008-0000-0000-0000D0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7" name="Text Box 10">
          <a:extLst>
            <a:ext uri="{FF2B5EF4-FFF2-40B4-BE49-F238E27FC236}">
              <a16:creationId xmlns:a16="http://schemas.microsoft.com/office/drawing/2014/main" id="{00000000-0008-0000-0000-0000D1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8" name="Text Box 11">
          <a:extLst>
            <a:ext uri="{FF2B5EF4-FFF2-40B4-BE49-F238E27FC236}">
              <a16:creationId xmlns:a16="http://schemas.microsoft.com/office/drawing/2014/main" id="{00000000-0008-0000-0000-0000D2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9" name="Text Box 12">
          <a:extLst>
            <a:ext uri="{FF2B5EF4-FFF2-40B4-BE49-F238E27FC236}">
              <a16:creationId xmlns:a16="http://schemas.microsoft.com/office/drawing/2014/main" id="{00000000-0008-0000-0000-0000D3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0" name="Text Box 13">
          <a:extLst>
            <a:ext uri="{FF2B5EF4-FFF2-40B4-BE49-F238E27FC236}">
              <a16:creationId xmlns:a16="http://schemas.microsoft.com/office/drawing/2014/main" id="{00000000-0008-0000-0000-0000D4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5041</xdr:rowOff>
    </xdr:to>
    <xdr:sp macro="" textlink="">
      <xdr:nvSpPr>
        <xdr:cNvPr id="27861" name="Text Box 14">
          <a:extLst>
            <a:ext uri="{FF2B5EF4-FFF2-40B4-BE49-F238E27FC236}">
              <a16:creationId xmlns:a16="http://schemas.microsoft.com/office/drawing/2014/main" id="{00000000-0008-0000-0000-0000D56C0000}"/>
            </a:ext>
          </a:extLst>
        </xdr:cNvPr>
        <xdr:cNvSpPr txBox="1">
          <a:spLocks noChangeArrowheads="1"/>
        </xdr:cNvSpPr>
      </xdr:nvSpPr>
      <xdr:spPr bwMode="auto">
        <a:xfrm>
          <a:off x="3752850" y="1320307875"/>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2" name="Text Box 15">
          <a:extLst>
            <a:ext uri="{FF2B5EF4-FFF2-40B4-BE49-F238E27FC236}">
              <a16:creationId xmlns:a16="http://schemas.microsoft.com/office/drawing/2014/main" id="{00000000-0008-0000-0000-0000D6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63" name="Text Box 5">
          <a:extLst>
            <a:ext uri="{FF2B5EF4-FFF2-40B4-BE49-F238E27FC236}">
              <a16:creationId xmlns:a16="http://schemas.microsoft.com/office/drawing/2014/main" id="{00000000-0008-0000-0000-0000D7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1019</xdr:rowOff>
    </xdr:to>
    <xdr:sp macro="" textlink="">
      <xdr:nvSpPr>
        <xdr:cNvPr id="27864" name="Text Box 6">
          <a:extLst>
            <a:ext uri="{FF2B5EF4-FFF2-40B4-BE49-F238E27FC236}">
              <a16:creationId xmlns:a16="http://schemas.microsoft.com/office/drawing/2014/main" id="{00000000-0008-0000-0000-0000D86C0000}"/>
            </a:ext>
          </a:extLst>
        </xdr:cNvPr>
        <xdr:cNvSpPr txBox="1">
          <a:spLocks noChangeArrowheads="1"/>
        </xdr:cNvSpPr>
      </xdr:nvSpPr>
      <xdr:spPr bwMode="auto">
        <a:xfrm>
          <a:off x="3752850" y="1322403375"/>
          <a:ext cx="11144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5" name="Text Box 7">
          <a:extLst>
            <a:ext uri="{FF2B5EF4-FFF2-40B4-BE49-F238E27FC236}">
              <a16:creationId xmlns:a16="http://schemas.microsoft.com/office/drawing/2014/main" id="{00000000-0008-0000-0000-0000D9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6" name="Text Box 8">
          <a:extLst>
            <a:ext uri="{FF2B5EF4-FFF2-40B4-BE49-F238E27FC236}">
              <a16:creationId xmlns:a16="http://schemas.microsoft.com/office/drawing/2014/main" id="{00000000-0008-0000-0000-0000DA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7" name="Text Box 9">
          <a:extLst>
            <a:ext uri="{FF2B5EF4-FFF2-40B4-BE49-F238E27FC236}">
              <a16:creationId xmlns:a16="http://schemas.microsoft.com/office/drawing/2014/main" id="{00000000-0008-0000-0000-0000DB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8" name="Text Box 10">
          <a:extLst>
            <a:ext uri="{FF2B5EF4-FFF2-40B4-BE49-F238E27FC236}">
              <a16:creationId xmlns:a16="http://schemas.microsoft.com/office/drawing/2014/main" id="{00000000-0008-0000-0000-0000DC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9" name="Text Box 11">
          <a:extLst>
            <a:ext uri="{FF2B5EF4-FFF2-40B4-BE49-F238E27FC236}">
              <a16:creationId xmlns:a16="http://schemas.microsoft.com/office/drawing/2014/main" id="{00000000-0008-0000-0000-0000DD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70" name="Text Box 12">
          <a:extLst>
            <a:ext uri="{FF2B5EF4-FFF2-40B4-BE49-F238E27FC236}">
              <a16:creationId xmlns:a16="http://schemas.microsoft.com/office/drawing/2014/main" id="{00000000-0008-0000-0000-0000DE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71" name="Text Box 13">
          <a:extLst>
            <a:ext uri="{FF2B5EF4-FFF2-40B4-BE49-F238E27FC236}">
              <a16:creationId xmlns:a16="http://schemas.microsoft.com/office/drawing/2014/main" id="{00000000-0008-0000-0000-0000DF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5041</xdr:rowOff>
    </xdr:to>
    <xdr:sp macro="" textlink="">
      <xdr:nvSpPr>
        <xdr:cNvPr id="27872" name="Text Box 14">
          <a:extLst>
            <a:ext uri="{FF2B5EF4-FFF2-40B4-BE49-F238E27FC236}">
              <a16:creationId xmlns:a16="http://schemas.microsoft.com/office/drawing/2014/main" id="{00000000-0008-0000-0000-0000E06C0000}"/>
            </a:ext>
          </a:extLst>
        </xdr:cNvPr>
        <xdr:cNvSpPr txBox="1">
          <a:spLocks noChangeArrowheads="1"/>
        </xdr:cNvSpPr>
      </xdr:nvSpPr>
      <xdr:spPr bwMode="auto">
        <a:xfrm>
          <a:off x="3752850" y="1322403375"/>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73" name="Text Box 15">
          <a:extLst>
            <a:ext uri="{FF2B5EF4-FFF2-40B4-BE49-F238E27FC236}">
              <a16:creationId xmlns:a16="http://schemas.microsoft.com/office/drawing/2014/main" id="{00000000-0008-0000-0000-0000E1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4" name="Text Box 16">
          <a:extLst>
            <a:ext uri="{FF2B5EF4-FFF2-40B4-BE49-F238E27FC236}">
              <a16:creationId xmlns:a16="http://schemas.microsoft.com/office/drawing/2014/main" id="{00000000-0008-0000-0000-0000E2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5" name="Text Box 17">
          <a:extLst>
            <a:ext uri="{FF2B5EF4-FFF2-40B4-BE49-F238E27FC236}">
              <a16:creationId xmlns:a16="http://schemas.microsoft.com/office/drawing/2014/main" id="{00000000-0008-0000-0000-0000E3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6" name="Text Box 18">
          <a:extLst>
            <a:ext uri="{FF2B5EF4-FFF2-40B4-BE49-F238E27FC236}">
              <a16:creationId xmlns:a16="http://schemas.microsoft.com/office/drawing/2014/main" id="{00000000-0008-0000-0000-0000E4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7" name="Text Box 19">
          <a:extLst>
            <a:ext uri="{FF2B5EF4-FFF2-40B4-BE49-F238E27FC236}">
              <a16:creationId xmlns:a16="http://schemas.microsoft.com/office/drawing/2014/main" id="{00000000-0008-0000-0000-0000E5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8" name="Text Box 20">
          <a:extLst>
            <a:ext uri="{FF2B5EF4-FFF2-40B4-BE49-F238E27FC236}">
              <a16:creationId xmlns:a16="http://schemas.microsoft.com/office/drawing/2014/main" id="{00000000-0008-0000-0000-0000E6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9" name="Text Box 21">
          <a:extLst>
            <a:ext uri="{FF2B5EF4-FFF2-40B4-BE49-F238E27FC236}">
              <a16:creationId xmlns:a16="http://schemas.microsoft.com/office/drawing/2014/main" id="{00000000-0008-0000-0000-0000E7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1019</xdr:rowOff>
    </xdr:to>
    <xdr:sp macro="" textlink="">
      <xdr:nvSpPr>
        <xdr:cNvPr id="27880" name="Text Box 22">
          <a:extLst>
            <a:ext uri="{FF2B5EF4-FFF2-40B4-BE49-F238E27FC236}">
              <a16:creationId xmlns:a16="http://schemas.microsoft.com/office/drawing/2014/main" id="{00000000-0008-0000-0000-0000E86C0000}"/>
            </a:ext>
          </a:extLst>
        </xdr:cNvPr>
        <xdr:cNvSpPr txBox="1">
          <a:spLocks noChangeArrowheads="1"/>
        </xdr:cNvSpPr>
      </xdr:nvSpPr>
      <xdr:spPr bwMode="auto">
        <a:xfrm>
          <a:off x="3752850" y="1322403375"/>
          <a:ext cx="11144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1" name="Text Box 7">
          <a:extLst>
            <a:ext uri="{FF2B5EF4-FFF2-40B4-BE49-F238E27FC236}">
              <a16:creationId xmlns:a16="http://schemas.microsoft.com/office/drawing/2014/main" id="{00000000-0008-0000-0000-0000E9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2" name="Text Box 8">
          <a:extLst>
            <a:ext uri="{FF2B5EF4-FFF2-40B4-BE49-F238E27FC236}">
              <a16:creationId xmlns:a16="http://schemas.microsoft.com/office/drawing/2014/main" id="{00000000-0008-0000-0000-0000EA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3" name="Text Box 9">
          <a:extLst>
            <a:ext uri="{FF2B5EF4-FFF2-40B4-BE49-F238E27FC236}">
              <a16:creationId xmlns:a16="http://schemas.microsoft.com/office/drawing/2014/main" id="{00000000-0008-0000-0000-0000EB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4" name="Text Box 10">
          <a:extLst>
            <a:ext uri="{FF2B5EF4-FFF2-40B4-BE49-F238E27FC236}">
              <a16:creationId xmlns:a16="http://schemas.microsoft.com/office/drawing/2014/main" id="{00000000-0008-0000-0000-0000EC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5" name="Text Box 11">
          <a:extLst>
            <a:ext uri="{FF2B5EF4-FFF2-40B4-BE49-F238E27FC236}">
              <a16:creationId xmlns:a16="http://schemas.microsoft.com/office/drawing/2014/main" id="{00000000-0008-0000-0000-0000ED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6" name="Text Box 12">
          <a:extLst>
            <a:ext uri="{FF2B5EF4-FFF2-40B4-BE49-F238E27FC236}">
              <a16:creationId xmlns:a16="http://schemas.microsoft.com/office/drawing/2014/main" id="{00000000-0008-0000-0000-0000EE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7" name="Text Box 13">
          <a:extLst>
            <a:ext uri="{FF2B5EF4-FFF2-40B4-BE49-F238E27FC236}">
              <a16:creationId xmlns:a16="http://schemas.microsoft.com/office/drawing/2014/main" id="{00000000-0008-0000-0000-0000EF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5041</xdr:rowOff>
    </xdr:to>
    <xdr:sp macro="" textlink="">
      <xdr:nvSpPr>
        <xdr:cNvPr id="27888" name="Text Box 14">
          <a:extLst>
            <a:ext uri="{FF2B5EF4-FFF2-40B4-BE49-F238E27FC236}">
              <a16:creationId xmlns:a16="http://schemas.microsoft.com/office/drawing/2014/main" id="{00000000-0008-0000-0000-0000F06C0000}"/>
            </a:ext>
          </a:extLst>
        </xdr:cNvPr>
        <xdr:cNvSpPr txBox="1">
          <a:spLocks noChangeArrowheads="1"/>
        </xdr:cNvSpPr>
      </xdr:nvSpPr>
      <xdr:spPr bwMode="auto">
        <a:xfrm>
          <a:off x="3752850" y="1322403375"/>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9" name="Text Box 15">
          <a:extLst>
            <a:ext uri="{FF2B5EF4-FFF2-40B4-BE49-F238E27FC236}">
              <a16:creationId xmlns:a16="http://schemas.microsoft.com/office/drawing/2014/main" id="{00000000-0008-0000-0000-0000F1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1826</xdr:row>
      <xdr:rowOff>0</xdr:rowOff>
    </xdr:to>
    <xdr:sp macro="" textlink="">
      <xdr:nvSpPr>
        <xdr:cNvPr id="27890" name="Text Box 1">
          <a:extLst>
            <a:ext uri="{FF2B5EF4-FFF2-40B4-BE49-F238E27FC236}">
              <a16:creationId xmlns:a16="http://schemas.microsoft.com/office/drawing/2014/main" id="{00000000-0008-0000-0000-0000F26C0000}"/>
            </a:ext>
          </a:extLst>
        </xdr:cNvPr>
        <xdr:cNvSpPr txBox="1">
          <a:spLocks noChangeArrowheads="1"/>
        </xdr:cNvSpPr>
      </xdr:nvSpPr>
      <xdr:spPr bwMode="auto">
        <a:xfrm>
          <a:off x="4429125" y="315200347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1826</xdr:row>
      <xdr:rowOff>0</xdr:rowOff>
    </xdr:to>
    <xdr:sp macro="" textlink="">
      <xdr:nvSpPr>
        <xdr:cNvPr id="27891" name="Text Box 1">
          <a:extLst>
            <a:ext uri="{FF2B5EF4-FFF2-40B4-BE49-F238E27FC236}">
              <a16:creationId xmlns:a16="http://schemas.microsoft.com/office/drawing/2014/main" id="{00000000-0008-0000-0000-0000F36C0000}"/>
            </a:ext>
          </a:extLst>
        </xdr:cNvPr>
        <xdr:cNvSpPr txBox="1">
          <a:spLocks noChangeArrowheads="1"/>
        </xdr:cNvSpPr>
      </xdr:nvSpPr>
      <xdr:spPr bwMode="auto">
        <a:xfrm>
          <a:off x="4429125" y="315167962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1833</xdr:row>
      <xdr:rowOff>85728</xdr:rowOff>
    </xdr:to>
    <xdr:sp macro="" textlink="">
      <xdr:nvSpPr>
        <xdr:cNvPr id="27892" name="Text Box 1">
          <a:extLst>
            <a:ext uri="{FF2B5EF4-FFF2-40B4-BE49-F238E27FC236}">
              <a16:creationId xmlns:a16="http://schemas.microsoft.com/office/drawing/2014/main" id="{00000000-0008-0000-0000-0000F46C0000}"/>
            </a:ext>
          </a:extLst>
        </xdr:cNvPr>
        <xdr:cNvSpPr txBox="1">
          <a:spLocks noChangeArrowheads="1"/>
        </xdr:cNvSpPr>
      </xdr:nvSpPr>
      <xdr:spPr bwMode="auto">
        <a:xfrm>
          <a:off x="4429125" y="3449183475"/>
          <a:ext cx="104775"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1833</xdr:row>
      <xdr:rowOff>19053</xdr:rowOff>
    </xdr:to>
    <xdr:sp macro="" textlink="">
      <xdr:nvSpPr>
        <xdr:cNvPr id="27893" name="Text Box 1">
          <a:extLst>
            <a:ext uri="{FF2B5EF4-FFF2-40B4-BE49-F238E27FC236}">
              <a16:creationId xmlns:a16="http://schemas.microsoft.com/office/drawing/2014/main" id="{00000000-0008-0000-0000-0000F56C0000}"/>
            </a:ext>
          </a:extLst>
        </xdr:cNvPr>
        <xdr:cNvSpPr txBox="1">
          <a:spLocks noChangeArrowheads="1"/>
        </xdr:cNvSpPr>
      </xdr:nvSpPr>
      <xdr:spPr bwMode="auto">
        <a:xfrm>
          <a:off x="4429125" y="3449183475"/>
          <a:ext cx="1047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2640012</xdr:colOff>
      <xdr:row>138</xdr:row>
      <xdr:rowOff>28464</xdr:rowOff>
    </xdr:from>
    <xdr:to>
      <xdr:col>5</xdr:col>
      <xdr:colOff>342899</xdr:colOff>
      <xdr:row>142</xdr:row>
      <xdr:rowOff>1979</xdr:rowOff>
    </xdr:to>
    <xdr:pic>
      <xdr:nvPicPr>
        <xdr:cNvPr id="27896" name="Picture 3">
          <a:extLst>
            <a:ext uri="{FF2B5EF4-FFF2-40B4-BE49-F238E27FC236}">
              <a16:creationId xmlns:a16="http://schemas.microsoft.com/office/drawing/2014/main" id="{00000000-0008-0000-0000-0000F86C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97237" y="36147264"/>
          <a:ext cx="1798637" cy="6161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1826</xdr:row>
      <xdr:rowOff>0</xdr:rowOff>
    </xdr:from>
    <xdr:to>
      <xdr:col>5</xdr:col>
      <xdr:colOff>104775</xdr:colOff>
      <xdr:row>1826</xdr:row>
      <xdr:rowOff>0</xdr:rowOff>
    </xdr:to>
    <xdr:sp macro="" textlink="">
      <xdr:nvSpPr>
        <xdr:cNvPr id="183" name="Text Box 1">
          <a:extLst>
            <a:ext uri="{FF2B5EF4-FFF2-40B4-BE49-F238E27FC236}">
              <a16:creationId xmlns:a16="http://schemas.microsoft.com/office/drawing/2014/main" id="{00000000-0008-0000-0000-0000B7000000}"/>
            </a:ext>
          </a:extLst>
        </xdr:cNvPr>
        <xdr:cNvSpPr txBox="1">
          <a:spLocks noChangeArrowheads="1"/>
        </xdr:cNvSpPr>
      </xdr:nvSpPr>
      <xdr:spPr bwMode="auto">
        <a:xfrm>
          <a:off x="4429125" y="316362397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1826</xdr:row>
      <xdr:rowOff>0</xdr:rowOff>
    </xdr:to>
    <xdr:sp macro="" textlink="">
      <xdr:nvSpPr>
        <xdr:cNvPr id="184" name="Text Box 1">
          <a:extLst>
            <a:ext uri="{FF2B5EF4-FFF2-40B4-BE49-F238E27FC236}">
              <a16:creationId xmlns:a16="http://schemas.microsoft.com/office/drawing/2014/main" id="{00000000-0008-0000-0000-0000B8000000}"/>
            </a:ext>
          </a:extLst>
        </xdr:cNvPr>
        <xdr:cNvSpPr txBox="1">
          <a:spLocks noChangeArrowheads="1"/>
        </xdr:cNvSpPr>
      </xdr:nvSpPr>
      <xdr:spPr bwMode="auto">
        <a:xfrm>
          <a:off x="4429125" y="316330012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1835</xdr:row>
      <xdr:rowOff>76205</xdr:rowOff>
    </xdr:to>
    <xdr:sp macro="" textlink="">
      <xdr:nvSpPr>
        <xdr:cNvPr id="185" name="Text Box 1">
          <a:extLst>
            <a:ext uri="{FF2B5EF4-FFF2-40B4-BE49-F238E27FC236}">
              <a16:creationId xmlns:a16="http://schemas.microsoft.com/office/drawing/2014/main" id="{00000000-0008-0000-0000-0000B9000000}"/>
            </a:ext>
          </a:extLst>
        </xdr:cNvPr>
        <xdr:cNvSpPr txBox="1">
          <a:spLocks noChangeArrowheads="1"/>
        </xdr:cNvSpPr>
      </xdr:nvSpPr>
      <xdr:spPr bwMode="auto">
        <a:xfrm>
          <a:off x="4429125" y="3462851850"/>
          <a:ext cx="104775" cy="12192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1835</xdr:row>
      <xdr:rowOff>9530</xdr:rowOff>
    </xdr:to>
    <xdr:sp macro="" textlink="">
      <xdr:nvSpPr>
        <xdr:cNvPr id="186" name="Text Box 1">
          <a:extLst>
            <a:ext uri="{FF2B5EF4-FFF2-40B4-BE49-F238E27FC236}">
              <a16:creationId xmlns:a16="http://schemas.microsoft.com/office/drawing/2014/main" id="{00000000-0008-0000-0000-0000BA000000}"/>
            </a:ext>
          </a:extLst>
        </xdr:cNvPr>
        <xdr:cNvSpPr txBox="1">
          <a:spLocks noChangeArrowheads="1"/>
        </xdr:cNvSpPr>
      </xdr:nvSpPr>
      <xdr:spPr bwMode="auto">
        <a:xfrm>
          <a:off x="4429125" y="3462851850"/>
          <a:ext cx="104775" cy="11525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228600</xdr:colOff>
      <xdr:row>4</xdr:row>
      <xdr:rowOff>9525</xdr:rowOff>
    </xdr:to>
    <xdr:pic>
      <xdr:nvPicPr>
        <xdr:cNvPr id="2" name="Slika 6" descr="B6B.PNG">
          <a:extLst>
            <a:ext uri="{FF2B5EF4-FFF2-40B4-BE49-F238E27FC236}">
              <a16:creationId xmlns:a16="http://schemas.microsoft.com/office/drawing/2014/main" id="{E0743022-419F-45DA-8B6B-D557A9B1A003}"/>
            </a:ext>
          </a:extLst>
        </xdr:cNvPr>
        <xdr:cNvPicPr>
          <a:picLocks noChangeAspect="1"/>
        </xdr:cNvPicPr>
      </xdr:nvPicPr>
      <xdr:blipFill>
        <a:blip xmlns:r="http://schemas.openxmlformats.org/officeDocument/2006/relationships" r:embed="rId1" cstate="print"/>
        <a:srcRect/>
        <a:stretch>
          <a:fillRect/>
        </a:stretch>
      </xdr:blipFill>
      <xdr:spPr bwMode="auto">
        <a:xfrm>
          <a:off x="0" y="0"/>
          <a:ext cx="990600" cy="4476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P%20R%20I%20P%20R%20E%20M%20A%20-%20STARE%20STVARI\P%20R%20I%20P%20R%20E%20M%20A\ponude\&#352;PI&#352;I&#262;%20BUKOVICA-DVORAN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da\d\ASB_OBNOVA2001\7107_Ostoji&#263;\7107_AS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arko\d\marko\2006\06_143_BO&#381;I&#268;EVI&#262;-Stoj&#269;evi&#263;\06-143-2-BO&#381;I&#268;EVI&#262;-Stoj&#269;evi&#26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arko\D\marko\2006\06_141_BO&#381;I&#268;EVI&#262;-Bunjevac\Glavni%20projekt-ARH-BUNJEVAC%20V..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re&#353;o\NERADNI%20(D)\PODLOGE\EUROCODE\X_EC_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ijo\neradni%20(d)\PODLOGE\EUROCODE\Bet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Posao%20Domagoj\2013\13_123_Kreusa_Zgrada%20B\13_123_Kreusa_Zgrada%20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ada\d\VIKTORIJA_OBNOVA_2001\4808_LUKERI&#262;_Andrija\obn_01_480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enovo-pc\d\Posao-Domagoj\2015\15_020_Projektant\Glavni%20projekt-ARHITEKTUR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KRUNO-PC\Posao\Posao\Kruno\ARHIVA\2016\15_047_Maja%20Jelsa\m\15-047-2%20MAJ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My%20Documents\P%20R%20I%20P%20R%20E%20M%20A\ponude\N.C.%20-%20GRA&#272;EVINSKI%20RADOVI%20-%20POSLOVI%20PREKO%20GODIN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OMAGOJ-PC\Posao%20Domagoj\2007\GOTOVO\KU&#262;A%20TIPSKA-75%20E\75%20E%20-%20UPU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ODET."/>
      <sheetName val="ZEMLJAN"/>
      <sheetName val="BETONSKI "/>
      <sheetName val="zidarski"/>
      <sheetName val="izolacija"/>
      <sheetName val="krovna konstr."/>
      <sheetName val="krovopokr-limar"/>
      <sheetName val="stolar."/>
      <sheetName val="bravar."/>
      <sheetName val="keram i kamenorez."/>
      <sheetName val="parket"/>
      <sheetName val="SOBOSLIKAR-FASAD"/>
      <sheetName val="razni"/>
      <sheetName val="oprema dvor."/>
      <sheetName val="okoliš"/>
      <sheetName val="voda"/>
      <sheetName val="elektr"/>
      <sheetName val="PLIN"/>
      <sheetName val="zemljani"/>
      <sheetName val="bet.i ab"/>
      <sheetName val="zidar"/>
      <sheetName val="izolac."/>
      <sheetName val="krov.konstr"/>
      <sheetName val="krovo-lim"/>
      <sheetName val="stolar"/>
      <sheetName val="bravar"/>
      <sheetName val="keram i kamen"/>
      <sheetName val="soboslik"/>
      <sheetName val="razni "/>
      <sheetName val="REZIME"/>
      <sheetName val="materijali"/>
      <sheetName val="plan ponude-"/>
      <sheetName val="plan ponude- (3)"/>
      <sheetName val="plan ponude- (2)"/>
      <sheetName val="DOKAZNICA"/>
      <sheetName val="KOLEKTORI"/>
      <sheetName val="FAKTORI"/>
    </sheetNames>
    <sheetDataSet>
      <sheetData sheetId="0"/>
      <sheetData sheetId="1">
        <row r="10">
          <cell r="F10">
            <v>130349.75</v>
          </cell>
        </row>
      </sheetData>
      <sheetData sheetId="2"/>
      <sheetData sheetId="3"/>
      <sheetData sheetId="4">
        <row r="13">
          <cell r="F13">
            <v>593618.69000000006</v>
          </cell>
        </row>
      </sheetData>
      <sheetData sheetId="5"/>
      <sheetData sheetId="6"/>
      <sheetData sheetId="7"/>
      <sheetData sheetId="8"/>
      <sheetData sheetId="9"/>
      <sheetData sheetId="10"/>
      <sheetData sheetId="11"/>
      <sheetData sheetId="12"/>
      <sheetData sheetId="13">
        <row r="28">
          <cell r="F28">
            <v>571220</v>
          </cell>
        </row>
      </sheetData>
      <sheetData sheetId="14">
        <row r="25">
          <cell r="F25">
            <v>432109.74</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k_površina (2)"/>
      <sheetName val="Osn-Pod"/>
      <sheetName val="Korice"/>
      <sheetName val="Sadržaj"/>
      <sheetName val="Nasl_rješ"/>
      <sheetName val="Rješenje"/>
      <sheetName val="Nasl_zat"/>
      <sheetName val="Zat_stanje"/>
      <sheetName val="Nasl_san"/>
      <sheetName val="An_konst"/>
      <sheetName val="Statika"/>
      <sheetName val="Opis"/>
      <sheetName val="01-03"/>
      <sheetName val="101-102"/>
      <sheetName val="103"/>
      <sheetName val="104"/>
      <sheetName val="105"/>
      <sheetName val="106"/>
      <sheetName val="107"/>
      <sheetName val="108"/>
      <sheetName val="201"/>
      <sheetName val="202"/>
      <sheetName val="Tem"/>
      <sheetName val="Isk_površina"/>
      <sheetName val="Nasl_ur"/>
      <sheetName val="Unut_uređenje"/>
      <sheetName val="Nasl_dok"/>
      <sheetName val="Trosk (2)"/>
      <sheetName val="Nasl_foto"/>
      <sheetName val="Nasl_foto (2)"/>
      <sheetName val="Dokaz"/>
      <sheetName val="Nasl_dok (2)"/>
      <sheetName val="Trosk"/>
      <sheetName val="Module1"/>
      <sheetName val="Oporavljeno_List1"/>
      <sheetName val="List1"/>
      <sheetName val="Opis (2)"/>
      <sheetName val="01-04 (KROV)"/>
      <sheetName val="100"/>
      <sheetName val="greda_105"/>
      <sheetName val="greda_106"/>
      <sheetName val="greda_107"/>
      <sheetName val="greda_108"/>
      <sheetName val="200"/>
      <sheetName val="KONZ PL 204"/>
      <sheetName val="STUBIŠTE 205_1"/>
      <sheetName val="STUBIŠTE 205_2"/>
      <sheetName val="greda_206"/>
      <sheetName val="greda_207"/>
      <sheetName val="greda_208"/>
      <sheetName val="greda_209"/>
      <sheetName val="serk"/>
      <sheetName val="podna p."/>
      <sheetName val="SPECIFIKACIJA "/>
      <sheetName val="Predmjer"/>
      <sheetName val="Korice (3)"/>
      <sheetName val="Korice (4)"/>
      <sheetName val="SPECIFIKACIJA  (2)"/>
      <sheetName val="SPECIFIKACIJA  (3)"/>
      <sheetName val="STOLARIJA"/>
      <sheetName val="FOTO"/>
      <sheetName val="Obrazac za reviziju"/>
      <sheetName val="Nasl. trosk"/>
      <sheetName val="Osn_Pod"/>
      <sheetName val="TG"/>
      <sheetName val="AB GREDA"/>
      <sheetName val="Isk_površina_(2)"/>
      <sheetName val="Isk_površina_(2)1"/>
      <sheetName val="Isk_površina_(2)2"/>
      <sheetName val="Isk_površina_(2)3"/>
      <sheetName val="Trosk_(2)"/>
      <sheetName val="Nasl_foto_(2)"/>
      <sheetName val="Nasl_dok_(2)"/>
      <sheetName val="Opis_(2)"/>
      <sheetName val="01-04_(KROV)"/>
      <sheetName val="KONZ_PL_204"/>
      <sheetName val="STUBIŠTE_205_1"/>
      <sheetName val="STUBIŠTE_205_2"/>
      <sheetName val="podna_p_"/>
      <sheetName val="SPECIFIKACIJA_"/>
      <sheetName val="Korice_(3)"/>
      <sheetName val="Korice_(4)"/>
      <sheetName val="SPECIFIKACIJA__(2)"/>
      <sheetName val="SPECIFIKACIJA__(3)"/>
      <sheetName val="Obrazac_za_reviziju"/>
      <sheetName val="Nasl__trosk"/>
      <sheetName val="AB_GREDA"/>
      <sheetName val="Isk_površina_(2)4"/>
      <sheetName val="Trosk_(2)1"/>
      <sheetName val="Nasl_foto_(2)1"/>
      <sheetName val="Nasl_dok_(2)1"/>
      <sheetName val="Opis_(2)1"/>
      <sheetName val="01-04_(KROV)1"/>
      <sheetName val="KONZ_PL_2041"/>
      <sheetName val="STUBIŠTE_205_11"/>
      <sheetName val="STUBIŠTE_205_21"/>
      <sheetName val="podna_p_1"/>
      <sheetName val="SPECIFIKACIJA_1"/>
      <sheetName val="Korice_(3)1"/>
      <sheetName val="Korice_(4)1"/>
      <sheetName val="SPECIFIKACIJA__(2)1"/>
      <sheetName val="SPECIFIKACIJA__(3)1"/>
      <sheetName val="Obrazac_za_reviziju1"/>
      <sheetName val="Nasl__trosk1"/>
      <sheetName val="AB_GREDA1"/>
      <sheetName val="Isk_površina_(2)5"/>
      <sheetName val="Trosk_(2)2"/>
      <sheetName val="Nasl_foto_(2)2"/>
      <sheetName val="Nasl_dok_(2)2"/>
      <sheetName val="Opis_(2)2"/>
      <sheetName val="01-04_(KROV)2"/>
      <sheetName val="KONZ_PL_2042"/>
      <sheetName val="STUBIŠTE_205_12"/>
      <sheetName val="STUBIŠTE_205_22"/>
      <sheetName val="podna_p_2"/>
      <sheetName val="SPECIFIKACIJA_2"/>
      <sheetName val="Korice_(3)2"/>
      <sheetName val="Korice_(4)2"/>
      <sheetName val="SPECIFIKACIJA__(2)2"/>
      <sheetName val="SPECIFIKACIJA__(3)2"/>
      <sheetName val="Obrazac_za_reviziju2"/>
      <sheetName val="Nasl__trosk2"/>
      <sheetName val="AB_GREDA2"/>
      <sheetName val="Isk_površina_(2)6"/>
      <sheetName val="Trosk_(2)3"/>
      <sheetName val="Nasl_foto_(2)3"/>
      <sheetName val="Nasl_dok_(2)3"/>
      <sheetName val="Opis_(2)3"/>
      <sheetName val="01-04_(KROV)3"/>
      <sheetName val="KONZ_PL_2043"/>
      <sheetName val="STUBIŠTE_205_13"/>
      <sheetName val="STUBIŠTE_205_23"/>
      <sheetName val="podna_p_3"/>
      <sheetName val="SPECIFIKACIJA_3"/>
      <sheetName val="Korice_(3)3"/>
      <sheetName val="Korice_(4)3"/>
      <sheetName val="SPECIFIKACIJA__(2)3"/>
      <sheetName val="SPECIFIKACIJA__(3)3"/>
      <sheetName val="Obrazac_za_reviziju3"/>
      <sheetName val="Nasl__trosk3"/>
      <sheetName val="AB_GREDA3"/>
      <sheetName val="Isk_površina_(2)7"/>
      <sheetName val="Trosk_(2)4"/>
      <sheetName val="Nasl_foto_(2)4"/>
      <sheetName val="Nasl_dok_(2)4"/>
      <sheetName val="Opis_(2)4"/>
      <sheetName val="01-04_(KROV)4"/>
      <sheetName val="KONZ_PL_2044"/>
      <sheetName val="STUBIŠTE_205_14"/>
      <sheetName val="STUBIŠTE_205_24"/>
      <sheetName val="podna_p_4"/>
      <sheetName val="SPECIFIKACIJA_4"/>
      <sheetName val="Korice_(3)4"/>
      <sheetName val="Korice_(4)4"/>
      <sheetName val="SPECIFIKACIJA__(2)4"/>
      <sheetName val="SPECIFIKACIJA__(3)4"/>
      <sheetName val="Obrazac_za_reviziju4"/>
      <sheetName val="Nasl__trosk4"/>
      <sheetName val="AB_GREDA4"/>
      <sheetName val="Isk_površina_(2)8"/>
      <sheetName val="Trosk_(2)5"/>
      <sheetName val="Nasl_foto_(2)5"/>
      <sheetName val="Nasl_dok_(2)5"/>
      <sheetName val="Opis_(2)5"/>
      <sheetName val="01-04_(KROV)5"/>
      <sheetName val="KONZ_PL_2045"/>
      <sheetName val="STUBIŠTE_205_15"/>
      <sheetName val="STUBIŠTE_205_25"/>
      <sheetName val="podna_p_5"/>
      <sheetName val="SPECIFIKACIJA_5"/>
      <sheetName val="Korice_(3)5"/>
      <sheetName val="Korice_(4)5"/>
      <sheetName val="SPECIFIKACIJA__(2)5"/>
      <sheetName val="SPECIFIKACIJA__(3)5"/>
      <sheetName val="Obrazac_za_reviziju5"/>
      <sheetName val="Nasl__trosk5"/>
      <sheetName val="AB_GREDA5"/>
      <sheetName val="Isk_površina_(2)9"/>
      <sheetName val="Trosk_(2)6"/>
      <sheetName val="Nasl_foto_(2)6"/>
      <sheetName val="Nasl_dok_(2)6"/>
      <sheetName val="Opis_(2)6"/>
      <sheetName val="01-04_(KROV)6"/>
      <sheetName val="KONZ_PL_2046"/>
      <sheetName val="STUBIŠTE_205_16"/>
      <sheetName val="STUBIŠTE_205_26"/>
      <sheetName val="podna_p_6"/>
      <sheetName val="SPECIFIKACIJA_6"/>
      <sheetName val="Korice_(3)6"/>
      <sheetName val="Korice_(4)6"/>
      <sheetName val="SPECIFIKACIJA__(2)6"/>
      <sheetName val="SPECIFIKACIJA__(3)6"/>
      <sheetName val="Obrazac_za_reviziju6"/>
      <sheetName val="Nasl__trosk6"/>
      <sheetName val="AB_GREDA6"/>
      <sheetName val="Isk_površina_(2)10"/>
      <sheetName val="Trosk_(2)7"/>
      <sheetName val="Nasl_foto_(2)7"/>
      <sheetName val="Nasl_dok_(2)7"/>
      <sheetName val="Opis_(2)7"/>
      <sheetName val="01-04_(KROV)7"/>
      <sheetName val="KONZ_PL_2047"/>
      <sheetName val="STUBIŠTE_205_17"/>
      <sheetName val="STUBIŠTE_205_27"/>
      <sheetName val="podna_p_7"/>
      <sheetName val="SPECIFIKACIJA_7"/>
      <sheetName val="Korice_(3)7"/>
      <sheetName val="Korice_(4)7"/>
      <sheetName val="SPECIFIKACIJA__(2)7"/>
      <sheetName val="SPECIFIKACIJA__(3)7"/>
      <sheetName val="Obrazac_za_reviziju7"/>
      <sheetName val="Nasl__trosk7"/>
      <sheetName val="AB_GREDA7"/>
      <sheetName val="Isk_površina_(2)11"/>
      <sheetName val="Trosk_(2)8"/>
      <sheetName val="Nasl_foto_(2)8"/>
      <sheetName val="Nasl_dok_(2)8"/>
      <sheetName val="Opis_(2)8"/>
      <sheetName val="01-04_(KROV)8"/>
      <sheetName val="KONZ_PL_2048"/>
      <sheetName val="STUBIŠTE_205_18"/>
      <sheetName val="STUBIŠTE_205_28"/>
      <sheetName val="podna_p_8"/>
      <sheetName val="SPECIFIKACIJA_8"/>
      <sheetName val="Korice_(3)8"/>
      <sheetName val="Korice_(4)8"/>
      <sheetName val="SPECIFIKACIJA__(2)8"/>
      <sheetName val="SPECIFIKACIJA__(3)8"/>
      <sheetName val="Obrazac_za_reviziju8"/>
      <sheetName val="Nasl__trosk8"/>
      <sheetName val="AB_GREDA8"/>
      <sheetName val="Isk_površina_(2)12"/>
      <sheetName val="Trosk_(2)9"/>
      <sheetName val="Nasl_foto_(2)9"/>
      <sheetName val="Nasl_dok_(2)9"/>
      <sheetName val="Opis_(2)9"/>
      <sheetName val="01-04_(KROV)9"/>
      <sheetName val="KONZ_PL_2049"/>
      <sheetName val="STUBIŠTE_205_19"/>
      <sheetName val="STUBIŠTE_205_29"/>
      <sheetName val="podna_p_9"/>
      <sheetName val="SPECIFIKACIJA_9"/>
      <sheetName val="Korice_(3)9"/>
      <sheetName val="Korice_(4)9"/>
      <sheetName val="SPECIFIKACIJA__(2)9"/>
      <sheetName val="SPECIFIKACIJA__(3)9"/>
      <sheetName val="Obrazac_za_reviziju9"/>
      <sheetName val="Nasl__trosk9"/>
      <sheetName val="AB_GREDA9"/>
      <sheetName val="Isk_površina_(2)13"/>
      <sheetName val="Trosk_(2)10"/>
      <sheetName val="Nasl_foto_(2)10"/>
      <sheetName val="Nasl_dok_(2)10"/>
      <sheetName val="Opis_(2)10"/>
      <sheetName val="01-04_(KROV)10"/>
      <sheetName val="KONZ_PL_20410"/>
      <sheetName val="STUBIŠTE_205_110"/>
      <sheetName val="STUBIŠTE_205_210"/>
      <sheetName val="podna_p_10"/>
      <sheetName val="SPECIFIKACIJA_10"/>
      <sheetName val="Korice_(3)10"/>
      <sheetName val="Korice_(4)10"/>
      <sheetName val="SPECIFIKACIJA__(2)10"/>
      <sheetName val="SPECIFIKACIJA__(3)10"/>
      <sheetName val="Obrazac_za_reviziju10"/>
      <sheetName val="Nasl__trosk10"/>
      <sheetName val="AB_GREDA10"/>
    </sheetNames>
    <sheetDataSet>
      <sheetData sheetId="0"/>
      <sheetData sheetId="1" refreshError="1">
        <row r="5">
          <cell r="G5" t="str">
            <v>DONJA ORAOVICA</v>
          </cell>
        </row>
        <row r="7">
          <cell r="C7" t="str">
            <v>OSTOJIĆ</v>
          </cell>
          <cell r="G7" t="str">
            <v>SLAVONSKI BROD</v>
          </cell>
        </row>
        <row r="8">
          <cell r="C8" t="str">
            <v>Milan</v>
          </cell>
        </row>
        <row r="9">
          <cell r="C9" t="str">
            <v>Donja Oraovica 49</v>
          </cell>
          <cell r="G9">
            <v>37323</v>
          </cell>
        </row>
        <row r="10">
          <cell r="E10" t="str">
            <v>SMDVDO-7107</v>
          </cell>
        </row>
        <row r="12">
          <cell r="C12" t="str">
            <v>SBiro  d.o.o.   SLAVONSKI BROD</v>
          </cell>
          <cell r="G12">
            <v>7107</v>
          </cell>
        </row>
        <row r="15">
          <cell r="C15" t="str">
            <v>Dušan BOŠNJAK, dipl.ing.građ.</v>
          </cell>
        </row>
        <row r="16">
          <cell r="C16" t="str">
            <v>Nada ĐAMIĆ, arh.teh.</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Korice"/>
      <sheetName val="Sadržaj"/>
      <sheetName val="Rješenje"/>
      <sheetName val="Ovl_gl_proj"/>
      <sheetName val="Izjava"/>
      <sheetName val="Prog_kont"/>
      <sheetName val="LOKAC."/>
      <sheetName val="IZVOD"/>
      <sheetName val="STATIKA"/>
      <sheetName val="TOP"/>
      <sheetName val="01-03"/>
      <sheetName val="01;04"/>
      <sheetName val="04-06"/>
      <sheetName val="08-10"/>
      <sheetName val="greda101"/>
      <sheetName val="Po1 pg"/>
      <sheetName val="101-102"/>
      <sheetName val="10005"/>
      <sheetName val="10006"/>
      <sheetName val="104"/>
      <sheetName val="105"/>
      <sheetName val=" kont3 101"/>
      <sheetName val=" kont 3 109"/>
      <sheetName val="101-106"/>
      <sheetName val="greda 107"/>
      <sheetName val="greda 108"/>
      <sheetName val="greda 109"/>
      <sheetName val="greda109"/>
      <sheetName val="greda110"/>
      <sheetName val="greda111"/>
      <sheetName val="nadvoj112"/>
      <sheetName val="stup113"/>
      <sheetName val="kont 2-101"/>
      <sheetName val="kont 2 101"/>
      <sheetName val="gr konz 104"/>
      <sheetName val="kont 2 102"/>
      <sheetName val="nadvoj104"/>
      <sheetName val="greda114"/>
      <sheetName val="greda116"/>
      <sheetName val="101,102"/>
      <sheetName val="AB-201"/>
      <sheetName val="greda105"/>
      <sheetName val="greda106"/>
      <sheetName val="konz206"/>
      <sheetName val="208"/>
      <sheetName val="stubis207"/>
      <sheetName val="stubis208"/>
      <sheetName val="greda212"/>
      <sheetName val="greda2"/>
      <sheetName val="greda214"/>
      <sheetName val="greda215"/>
      <sheetName val="greda216"/>
      <sheetName val="greda217"/>
      <sheetName val="greda218"/>
      <sheetName val="greda219"/>
      <sheetName val="greda220"/>
      <sheetName val="nadvoj222"/>
      <sheetName val="nadvoj223"/>
      <sheetName val="stup224-225"/>
      <sheetName val="greda step"/>
      <sheetName val="konz208"/>
      <sheetName val="301-302"/>
      <sheetName val="nadvoj210"/>
      <sheetName val="nadvoj211"/>
      <sheetName val="nadvoj212"/>
      <sheetName val="nadvoj213"/>
      <sheetName val="greda-214"/>
      <sheetName val="stup215"/>
      <sheetName val="nadvoj107"/>
      <sheetName val="greda205"/>
      <sheetName val="greda206"/>
      <sheetName val="greda207"/>
      <sheetName val="greda208"/>
      <sheetName val="greda209"/>
      <sheetName val="Pod"/>
      <sheetName val="Serklaži"/>
      <sheetName val="300"/>
      <sheetName val="GRAF"/>
    </sheetNames>
    <sheetDataSet>
      <sheetData sheetId="0"/>
      <sheetData sheetId="1" refreshError="1">
        <row r="29">
          <cell r="G29" t="str">
            <v>Goran i Perka STOJČEVIĆ,</v>
          </cell>
        </row>
        <row r="30">
          <cell r="G30" t="str">
            <v>Nurkovac bb,</v>
          </cell>
        </row>
        <row r="31">
          <cell r="G31" t="str">
            <v>OBITELJSKA STAMBENA GRAĐEVINA</v>
          </cell>
        </row>
        <row r="33">
          <cell r="G33" t="str">
            <v>k.o. NURKOVAC   k.č.279/2,</v>
          </cell>
        </row>
        <row r="34">
          <cell r="G34" t="str">
            <v>Nurkovac   ;  Nurkovac bb,</v>
          </cell>
        </row>
        <row r="36">
          <cell r="G36" t="str">
            <v>3297/06 - G  /knjiga 2/</v>
          </cell>
        </row>
        <row r="40">
          <cell r="X40" t="str">
            <v>KREŠIMIR BOŽIČEVIĆ d.i.a.</v>
          </cell>
        </row>
        <row r="55">
          <cell r="O55" t="str">
            <v>KREŠIMIR BOŽIČEVIĆ d.i.a.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rice"/>
      <sheetName val="Arh-sadržaj"/>
      <sheetName val="Gl-projekti"/>
      <sheetName val="Gl-imenovanje"/>
      <sheetName val="Arh-imenovanje"/>
      <sheetName val="Arh-usklađenje"/>
      <sheetName val="Arh-požar, izjava"/>
      <sheetName val="Arh-rad, izjava"/>
      <sheetName val="Arh-teh. opis"/>
      <sheetName val="Arh-protupožar"/>
      <sheetName val="Arh-rad"/>
      <sheetName val="Arh-toplina"/>
      <sheetName val="Arh-buka"/>
      <sheetName val="Arh-kvaliteta"/>
      <sheetName val="Arh-površine"/>
      <sheetName val="Arh-troškovi"/>
      <sheetName val="Arh-crtež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a greda_kon.var"/>
      <sheetName val="konz greda"/>
      <sheetName val="konz ploča"/>
      <sheetName val="pokrov + T greda"/>
      <sheetName val="A greda"/>
      <sheetName val="fert"/>
      <sheetName val="stubište s GNU"/>
      <sheetName val="stubište"/>
      <sheetName val="potres"/>
      <sheetName val="stup []_1"/>
      <sheetName val="stup[]-2"/>
      <sheetName val="popisi"/>
      <sheetName val="prosta greda_1.var"/>
      <sheetName val="Sheet2"/>
      <sheetName val="Korice"/>
    </sheetNames>
    <sheetDataSet>
      <sheetData sheetId="0"/>
      <sheetData sheetId="1"/>
      <sheetData sheetId="2"/>
      <sheetData sheetId="3"/>
      <sheetData sheetId="4"/>
      <sheetData sheetId="5"/>
      <sheetData sheetId="6"/>
      <sheetData sheetId="7"/>
      <sheetData sheetId="8"/>
      <sheetData sheetId="9"/>
      <sheetData sheetId="10"/>
      <sheetData sheetId="11" refreshError="1">
        <row r="1">
          <cell r="A1" t="str">
            <v>C 12/15</v>
          </cell>
          <cell r="C1" t="str">
            <v>RA 400/500</v>
          </cell>
        </row>
        <row r="2">
          <cell r="A2" t="str">
            <v>C 16/20</v>
          </cell>
          <cell r="C2" t="str">
            <v>GA 240/360</v>
          </cell>
        </row>
        <row r="3">
          <cell r="A3" t="str">
            <v>C 20/25</v>
          </cell>
          <cell r="C3" t="str">
            <v>MA 500/560</v>
          </cell>
        </row>
        <row r="4">
          <cell r="A4" t="str">
            <v>C 25/30</v>
          </cell>
        </row>
        <row r="5">
          <cell r="A5" t="str">
            <v>C 30/37</v>
          </cell>
        </row>
        <row r="6">
          <cell r="A6" t="str">
            <v>C 35/45</v>
          </cell>
        </row>
        <row r="7">
          <cell r="A7" t="str">
            <v>C 40/50</v>
          </cell>
        </row>
        <row r="8">
          <cell r="A8" t="str">
            <v>C 45/55</v>
          </cell>
        </row>
        <row r="9">
          <cell r="A9" t="str">
            <v>C 50/60</v>
          </cell>
        </row>
      </sheetData>
      <sheetData sheetId="12"/>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a greda"/>
      <sheetName val="Sheet2"/>
      <sheetName val="Sheet3"/>
      <sheetName val="popisi"/>
    </sheetNames>
    <sheetDataSet>
      <sheetData sheetId="0"/>
      <sheetData sheetId="1" refreshError="1">
        <row r="1">
          <cell r="A1" t="str">
            <v>C 12/15</v>
          </cell>
          <cell r="C1" t="str">
            <v>RA 400/500</v>
          </cell>
        </row>
        <row r="2">
          <cell r="A2" t="str">
            <v>C 16/20</v>
          </cell>
          <cell r="C2" t="str">
            <v>GA 240/360</v>
          </cell>
        </row>
        <row r="3">
          <cell r="A3" t="str">
            <v>C 20/25</v>
          </cell>
          <cell r="C3" t="str">
            <v>MA 500/560</v>
          </cell>
        </row>
        <row r="4">
          <cell r="A4" t="str">
            <v>C 25/30</v>
          </cell>
        </row>
        <row r="5">
          <cell r="A5" t="str">
            <v>C 30/37</v>
          </cell>
        </row>
        <row r="6">
          <cell r="A6" t="str">
            <v>C 35/45</v>
          </cell>
        </row>
        <row r="7">
          <cell r="A7" t="str">
            <v>C 40/50</v>
          </cell>
        </row>
        <row r="8">
          <cell r="A8" t="str">
            <v>C 45/55</v>
          </cell>
        </row>
        <row r="9">
          <cell r="A9" t="str">
            <v>C 50/60</v>
          </cell>
        </row>
      </sheetData>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DACI"/>
      <sheetName val="NASLOVNICA 1"/>
      <sheetName val="Pop map"/>
      <sheetName val="OPĆI_Sadržaj"/>
      <sheetName val="REGISTRACIJA"/>
      <sheetName val="Rješ Gl_proj"/>
      <sheetName val="OVLAŠT"/>
      <sheetName val="Izjava GP"/>
      <sheetName val="LOKAC"/>
      <sheetName val="NASLOVNICA 2"/>
      <sheetName val="SADRŽAJ"/>
      <sheetName val="IMEN. PROJ"/>
      <sheetName val="OVLAŠTENJE"/>
      <sheetName val="Ugovor"/>
      <sheetName val="IZJAVA-pros. plan"/>
      <sheetName val="SAN I KONTR"/>
      <sheetName val="TEH. OPIS"/>
      <sheetName val="Projektni zadatak"/>
      <sheetName val="VIJEK"/>
      <sheetName val="PREDRAČ VRIJ"/>
      <sheetName val="Predmjer"/>
      <sheetName val="001"/>
      <sheetName val="Troškovnik"/>
      <sheetName val="Iskaz količina "/>
      <sheetName val="Predmjer (2)"/>
      <sheetName val="FIZIKA"/>
      <sheetName val="buka"/>
      <sheetName val="IZJAVA-Pros.plan"/>
      <sheetName val="TEHNIČKI OPIS"/>
      <sheetName val="GRAFIČKI"/>
      <sheetName val="Sastavnice"/>
    </sheetNames>
    <sheetDataSet>
      <sheetData sheetId="0">
        <row r="17">
          <cell r="D17" t="str">
            <v>13 - 123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Module2"/>
      <sheetName val="Module3"/>
      <sheetName val="Module6"/>
      <sheetName val="Osn-Pod"/>
      <sheetName val="Korice"/>
      <sheetName val="Sadržaj"/>
      <sheetName val="Nasl_rješ"/>
      <sheetName val="Rješenje"/>
      <sheetName val="Nasl_zat"/>
      <sheetName val="Zat_stanje"/>
      <sheetName val="Nasl_san"/>
      <sheetName val="An_konst"/>
      <sheetName val="Statika"/>
      <sheetName val="Opis"/>
      <sheetName val="Shema_1"/>
      <sheetName val="01-04"/>
      <sheetName val="101-104"/>
      <sheetName val="105"/>
      <sheetName val="106"/>
      <sheetName val="107"/>
      <sheetName val="108"/>
      <sheetName val="109"/>
      <sheetName val="110"/>
      <sheetName val="111"/>
      <sheetName val="200"/>
      <sheetName val="Isk_površina"/>
      <sheetName val="Nasl_ur"/>
      <sheetName val="Unut_uređenje"/>
      <sheetName val="Nasl_dok"/>
      <sheetName val="Dokaz"/>
      <sheetName val="Nasl_foto"/>
      <sheetName val="Foto"/>
      <sheetName val="Sheet2"/>
      <sheetName val="popisi"/>
    </sheetNames>
    <sheetDataSet>
      <sheetData sheetId="0"/>
      <sheetData sheetId="1"/>
      <sheetData sheetId="2"/>
      <sheetData sheetId="3"/>
      <sheetData sheetId="4" refreshError="1">
        <row r="11">
          <cell r="G11" t="str">
            <v>4808</v>
          </cell>
        </row>
        <row r="14">
          <cell r="E14" t="str">
            <v>N</v>
          </cell>
        </row>
        <row r="19">
          <cell r="G19">
            <v>65.371199999999988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rice"/>
      <sheetName val="Gl-projekti"/>
      <sheetName val="Gl-imenovanje"/>
    </sheetNames>
    <sheetDataSet>
      <sheetData sheetId="0"/>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
      <sheetName val="000"/>
      <sheetName val="Sadržaj"/>
      <sheetName val="NASLOVNICA"/>
      <sheetName val="REGISTRACIJA (2)"/>
      <sheetName val="RJEŠENJE"/>
      <sheetName val="OVLAŠTENJE (2)"/>
      <sheetName val="IZJAVA"/>
      <sheetName val="Sheet2"/>
      <sheetName val="TOP-naslovna"/>
      <sheetName val="TOP"/>
      <sheetName val="Analiza opt"/>
      <sheetName val="STATIKA-naslovna"/>
      <sheetName val="ploča201 i 202"/>
      <sheetName val="ploča203"/>
      <sheetName val="ploča101i102"/>
      <sheetName val="ploča 103"/>
      <sheetName val="KROV"/>
      <sheetName val="AB GREDA 304"/>
      <sheetName val="AB NADVOJ-306"/>
      <sheetName val="AB GREDA 204"/>
      <sheetName val="AB GREDA 102"/>
      <sheetName val="STUBIŠTE s1"/>
      <sheetName val="SERKLAŽI"/>
      <sheetName val="PODOVI "/>
      <sheetName val="Tem. Trake "/>
      <sheetName val="GRAFIČKI"/>
    </sheetNames>
    <sheetDataSet>
      <sheetData sheetId="0"/>
      <sheetData sheetId="1"/>
      <sheetData sheetId="2"/>
      <sheetData sheetId="3"/>
      <sheetData sheetId="4"/>
      <sheetData sheetId="5"/>
      <sheetData sheetId="6"/>
      <sheetData sheetId="7"/>
      <sheetData sheetId="8">
        <row r="2">
          <cell r="A2" t="str">
            <v>Tip_1</v>
          </cell>
        </row>
        <row r="3">
          <cell r="A3" t="str">
            <v>Tip_2</v>
          </cell>
        </row>
        <row r="4">
          <cell r="A4" t="str">
            <v>Tip_3</v>
          </cell>
        </row>
        <row r="5">
          <cell r="A5" t="str">
            <v>Tip_4</v>
          </cell>
        </row>
        <row r="6">
          <cell r="A6" t="str">
            <v>Tip_5</v>
          </cell>
        </row>
        <row r="7">
          <cell r="A7" t="str">
            <v>Tip_6</v>
          </cell>
        </row>
        <row r="8">
          <cell r="A8" t="str">
            <v>Tip_7</v>
          </cell>
        </row>
      </sheetData>
      <sheetData sheetId="9"/>
      <sheetData sheetId="10"/>
      <sheetData sheetId="11"/>
      <sheetData sheetId="12"/>
      <sheetData sheetId="13">
        <row r="99">
          <cell r="H99" t="str">
            <v>Tip_2</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O (2)"/>
      <sheetName val="RAZNI RADOVI"/>
      <sheetName val="REZIME"/>
    </sheetNames>
    <sheetDataSet>
      <sheetData sheetId="0"/>
      <sheetData sheetId="1">
        <row r="22">
          <cell r="F22">
            <v>371.45</v>
          </cell>
        </row>
      </sheetData>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n-Pod"/>
      <sheetName val="Korice"/>
      <sheetName val="List1"/>
      <sheetName val="Sadržaj"/>
      <sheetName val="Nasl_rješ"/>
      <sheetName val="Rješenje"/>
      <sheetName val="Nasl_zat"/>
      <sheetName val="Zat_stanje"/>
      <sheetName val="Nasl_san"/>
      <sheetName val="An_konst"/>
      <sheetName val="Statika"/>
      <sheetName val="Opis (2)"/>
      <sheetName val="01-04 (KROV)"/>
      <sheetName val="100"/>
      <sheetName val="kont 2-105"/>
      <sheetName val="kont 3-107"/>
      <sheetName val="greda_106"/>
      <sheetName val="greda_107"/>
      <sheetName val="greda_108"/>
      <sheetName val="kont 2-109"/>
      <sheetName val="nadvoj 107"/>
      <sheetName val="Stup 110"/>
      <sheetName val="200"/>
      <sheetName val="stubište205"/>
      <sheetName val="greda_206"/>
      <sheetName val="greda_207"/>
      <sheetName val="kont 2-207"/>
      <sheetName val="greda208"/>
      <sheetName val="greda209"/>
      <sheetName val="greda_209"/>
      <sheetName val="nadvoj-210"/>
      <sheetName val="greda_210"/>
      <sheetName val="Stup-110"/>
      <sheetName val="greda211"/>
      <sheetName val="greda212"/>
      <sheetName val="serk"/>
      <sheetName val="podna p."/>
      <sheetName val="Tem"/>
      <sheetName val="Isk_površina"/>
      <sheetName val="Nasl_ur"/>
      <sheetName val="Unut_uređenje"/>
      <sheetName val="Nasl_dok"/>
      <sheetName val="Dokaz"/>
      <sheetName val="Korice (2)"/>
      <sheetName val="SPECIFIKACIJA "/>
      <sheetName val="STOLARIJA"/>
      <sheetName val="Predmjer"/>
      <sheetName val="Nasl_foto"/>
      <sheetName val="FOTO"/>
      <sheetName val="Predmjer NHS"/>
      <sheetName val="Nasl. trosk"/>
      <sheetName val="Trosk"/>
      <sheetName val="Module1"/>
    </sheetNames>
    <sheetDataSet>
      <sheetData sheetId="0" refreshError="1">
        <row r="12">
          <cell r="G12" t="str">
            <v>85 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21"/>
  </sheetPr>
  <dimension ref="A1:S1829"/>
  <sheetViews>
    <sheetView tabSelected="1" topLeftCell="A845" zoomScaleNormal="100" zoomScaleSheetLayoutView="100" zoomScalePageLayoutView="85" workbookViewId="0">
      <selection activeCell="F849" sqref="F849"/>
    </sheetView>
  </sheetViews>
  <sheetFormatPr defaultColWidth="9.59765625" defaultRowHeight="12.75"/>
  <cols>
    <col min="1" max="1" width="4" style="145" customWidth="1"/>
    <col min="2" max="2" width="6" style="144" customWidth="1"/>
    <col min="3" max="3" width="43.59765625" style="144" customWidth="1"/>
    <col min="4" max="4" width="7.73046875" style="144" customWidth="1"/>
    <col min="5" max="5" width="10.1328125" style="210" customWidth="1"/>
    <col min="6" max="6" width="9" style="140" customWidth="1"/>
    <col min="7" max="7" width="12.73046875" style="140" customWidth="1"/>
    <col min="8" max="10" width="9.59765625" style="144"/>
    <col min="11" max="11" width="1.73046875" style="144" customWidth="1"/>
    <col min="12" max="12" width="33" style="144" customWidth="1"/>
    <col min="13" max="16384" width="9.59765625" style="144"/>
  </cols>
  <sheetData>
    <row r="1" spans="1:7" s="21" customFormat="1" ht="21.75" customHeight="1">
      <c r="A1" s="16" t="s">
        <v>808</v>
      </c>
      <c r="B1" s="17" t="s">
        <v>133</v>
      </c>
      <c r="C1" s="18" t="s">
        <v>134</v>
      </c>
      <c r="D1" s="17" t="s">
        <v>141</v>
      </c>
      <c r="E1" s="19" t="s">
        <v>135</v>
      </c>
      <c r="F1" s="20" t="s">
        <v>136</v>
      </c>
      <c r="G1" s="20" t="s">
        <v>137</v>
      </c>
    </row>
    <row r="2" spans="1:7" s="26" customFormat="1" ht="27" customHeight="1">
      <c r="A2" s="22"/>
      <c r="B2" s="23"/>
      <c r="C2" s="24" t="s">
        <v>3</v>
      </c>
      <c r="D2" s="24" t="s">
        <v>830</v>
      </c>
      <c r="E2" s="25"/>
      <c r="F2" s="24"/>
      <c r="G2" s="24"/>
    </row>
    <row r="3" spans="1:7" s="26" customFormat="1">
      <c r="A3" s="27"/>
      <c r="B3" s="28"/>
      <c r="D3" s="29" t="s">
        <v>834</v>
      </c>
      <c r="E3" s="25"/>
      <c r="F3" s="24"/>
      <c r="G3" s="24"/>
    </row>
    <row r="4" spans="1:7" s="26" customFormat="1">
      <c r="A4" s="27"/>
      <c r="B4" s="28"/>
      <c r="D4" s="29" t="s">
        <v>835</v>
      </c>
      <c r="E4" s="25"/>
      <c r="F4" s="24"/>
      <c r="G4" s="24"/>
    </row>
    <row r="5" spans="1:7" s="26" customFormat="1">
      <c r="A5" s="27"/>
      <c r="B5" s="28"/>
      <c r="D5" s="30"/>
      <c r="E5" s="31"/>
      <c r="F5" s="24"/>
      <c r="G5" s="24"/>
    </row>
    <row r="6" spans="1:7" s="26" customFormat="1" ht="43.5" customHeight="1">
      <c r="A6" s="27"/>
      <c r="B6" s="28"/>
      <c r="C6" s="32" t="s">
        <v>0</v>
      </c>
      <c r="D6" s="926" t="s">
        <v>833</v>
      </c>
      <c r="E6" s="926"/>
      <c r="F6" s="926"/>
      <c r="G6" s="926"/>
    </row>
    <row r="7" spans="1:7" s="26" customFormat="1" ht="12" customHeight="1">
      <c r="A7" s="27"/>
      <c r="D7" s="925"/>
      <c r="E7" s="925"/>
      <c r="F7" s="925"/>
      <c r="G7" s="925"/>
    </row>
    <row r="8" spans="1:7" s="26" customFormat="1">
      <c r="A8" s="27"/>
      <c r="B8" s="28"/>
      <c r="D8" s="30"/>
      <c r="E8" s="34"/>
      <c r="F8" s="24"/>
      <c r="G8" s="24"/>
    </row>
    <row r="9" spans="1:7" s="26" customFormat="1" ht="52.5" customHeight="1">
      <c r="A9" s="27"/>
      <c r="B9" s="28"/>
      <c r="C9" s="35" t="s">
        <v>4</v>
      </c>
      <c r="D9" s="927" t="s">
        <v>832</v>
      </c>
      <c r="E9" s="927"/>
      <c r="F9" s="927"/>
      <c r="G9" s="927"/>
    </row>
    <row r="10" spans="1:7" s="26" customFormat="1">
      <c r="A10" s="27"/>
      <c r="B10" s="28"/>
      <c r="D10" s="30"/>
      <c r="E10" s="31"/>
      <c r="F10" s="24"/>
      <c r="G10" s="24"/>
    </row>
    <row r="11" spans="1:7" s="26" customFormat="1">
      <c r="A11" s="27"/>
      <c r="B11" s="28"/>
      <c r="C11" s="24" t="s">
        <v>5</v>
      </c>
      <c r="D11" s="928" t="s">
        <v>831</v>
      </c>
      <c r="E11" s="928"/>
      <c r="F11" s="928"/>
      <c r="G11" s="24"/>
    </row>
    <row r="12" spans="1:7" s="26" customFormat="1">
      <c r="A12" s="27"/>
      <c r="B12" s="28"/>
      <c r="C12" s="24"/>
      <c r="D12" s="29"/>
      <c r="E12" s="29"/>
      <c r="F12" s="29"/>
      <c r="G12" s="24"/>
    </row>
    <row r="13" spans="1:7" s="26" customFormat="1">
      <c r="A13" s="27"/>
      <c r="B13" s="28"/>
      <c r="C13" s="24"/>
      <c r="D13" s="29"/>
      <c r="E13" s="29"/>
      <c r="F13" s="29"/>
      <c r="G13" s="24"/>
    </row>
    <row r="14" spans="1:7" s="26" customFormat="1">
      <c r="A14" s="27"/>
      <c r="B14" s="28"/>
      <c r="C14" s="24"/>
      <c r="D14" s="29"/>
      <c r="E14" s="29"/>
      <c r="F14" s="29"/>
      <c r="G14" s="24"/>
    </row>
    <row r="15" spans="1:7" s="26" customFormat="1">
      <c r="A15" s="27"/>
      <c r="B15" s="28"/>
      <c r="D15" s="30"/>
      <c r="E15" s="31"/>
      <c r="F15" s="29"/>
      <c r="G15" s="24"/>
    </row>
    <row r="16" spans="1:7" s="26" customFormat="1" ht="17.649999999999999">
      <c r="A16" s="955" t="s">
        <v>1</v>
      </c>
      <c r="B16" s="955"/>
      <c r="C16" s="955"/>
      <c r="D16" s="955"/>
      <c r="E16" s="955"/>
      <c r="F16" s="955"/>
      <c r="G16" s="955"/>
    </row>
    <row r="17" spans="1:7" s="26" customFormat="1" ht="15">
      <c r="A17" s="933"/>
      <c r="B17" s="933"/>
      <c r="C17" s="933"/>
      <c r="D17" s="933"/>
      <c r="E17" s="933"/>
      <c r="F17" s="933"/>
      <c r="G17" s="24"/>
    </row>
    <row r="18" spans="1:7" s="26" customFormat="1" ht="36" customHeight="1">
      <c r="A18" s="37"/>
      <c r="B18" s="38"/>
      <c r="C18" s="38"/>
      <c r="D18" s="38"/>
      <c r="E18" s="39"/>
      <c r="F18" s="40"/>
      <c r="G18" s="40"/>
    </row>
    <row r="19" spans="1:7" s="26" customFormat="1" ht="13.15">
      <c r="A19" s="37"/>
      <c r="B19" s="38"/>
      <c r="C19" s="41" t="s">
        <v>1155</v>
      </c>
      <c r="D19" s="38"/>
      <c r="E19" s="39"/>
      <c r="F19" s="40"/>
      <c r="G19" s="40"/>
    </row>
    <row r="20" spans="1:7" s="26" customFormat="1" ht="13.15">
      <c r="A20" s="37"/>
      <c r="B20" s="38"/>
      <c r="C20" s="38"/>
      <c r="D20" s="38"/>
      <c r="E20" s="39"/>
      <c r="F20" s="40"/>
      <c r="G20" s="40"/>
    </row>
    <row r="21" spans="1:7" s="26" customFormat="1" ht="27" customHeight="1">
      <c r="A21" s="27"/>
      <c r="B21" s="28"/>
      <c r="C21" s="931" t="s">
        <v>1139</v>
      </c>
      <c r="D21" s="932"/>
      <c r="E21" s="932"/>
      <c r="F21" s="29"/>
      <c r="G21" s="24"/>
    </row>
    <row r="22" spans="1:7" s="26" customFormat="1">
      <c r="A22" s="27"/>
      <c r="B22" s="28"/>
      <c r="C22" s="917" t="s">
        <v>1076</v>
      </c>
      <c r="D22" s="917"/>
      <c r="E22" s="917"/>
      <c r="F22" s="29"/>
      <c r="G22" s="24"/>
    </row>
    <row r="23" spans="1:7" s="26" customFormat="1">
      <c r="A23" s="27"/>
      <c r="B23" s="28"/>
      <c r="D23" s="44"/>
      <c r="E23" s="31"/>
      <c r="F23" s="29"/>
      <c r="G23" s="24"/>
    </row>
    <row r="24" spans="1:7" s="26" customFormat="1">
      <c r="A24" s="27"/>
      <c r="B24" s="28"/>
      <c r="C24" s="917" t="s">
        <v>1077</v>
      </c>
      <c r="D24" s="917"/>
      <c r="E24" s="917"/>
      <c r="F24" s="29"/>
      <c r="G24" s="24"/>
    </row>
    <row r="25" spans="1:7" s="26" customFormat="1">
      <c r="A25" s="27"/>
      <c r="B25" s="28"/>
      <c r="C25" s="42"/>
      <c r="D25" s="42"/>
      <c r="E25" s="45"/>
      <c r="F25" s="29"/>
      <c r="G25" s="24"/>
    </row>
    <row r="26" spans="1:7" s="49" customFormat="1" ht="27" customHeight="1">
      <c r="A26" s="46"/>
      <c r="B26" s="47"/>
      <c r="C26" s="918" t="s">
        <v>1073</v>
      </c>
      <c r="D26" s="918"/>
      <c r="E26" s="918"/>
      <c r="F26" s="29"/>
      <c r="G26" s="24"/>
    </row>
    <row r="27" spans="1:7" s="24" customFormat="1">
      <c r="A27" s="22"/>
      <c r="B27" s="23"/>
      <c r="C27" s="917" t="s">
        <v>1074</v>
      </c>
      <c r="D27" s="917"/>
      <c r="E27" s="917"/>
      <c r="F27" s="29"/>
    </row>
    <row r="28" spans="1:7" s="26" customFormat="1">
      <c r="A28" s="27"/>
      <c r="B28" s="28"/>
      <c r="D28" s="44"/>
      <c r="E28" s="31"/>
      <c r="F28" s="29"/>
      <c r="G28" s="24"/>
    </row>
    <row r="29" spans="1:7" s="24" customFormat="1" ht="27" customHeight="1">
      <c r="A29" s="22"/>
      <c r="B29" s="23"/>
      <c r="C29" s="918" t="s">
        <v>1075</v>
      </c>
      <c r="D29" s="917"/>
      <c r="E29" s="917"/>
      <c r="F29" s="29"/>
    </row>
    <row r="30" spans="1:7" s="24" customFormat="1">
      <c r="A30" s="22"/>
      <c r="B30" s="23"/>
      <c r="C30" s="917" t="s">
        <v>1072</v>
      </c>
      <c r="D30" s="917"/>
      <c r="E30" s="917"/>
      <c r="F30" s="29"/>
    </row>
    <row r="31" spans="1:7" s="26" customFormat="1">
      <c r="A31" s="27"/>
      <c r="B31" s="28"/>
      <c r="D31" s="44"/>
      <c r="E31" s="31"/>
      <c r="F31" s="29"/>
      <c r="G31" s="24"/>
    </row>
    <row r="32" spans="1:7" s="26" customFormat="1" ht="27" customHeight="1">
      <c r="A32" s="27"/>
      <c r="B32" s="28"/>
      <c r="C32" s="931" t="s">
        <v>1067</v>
      </c>
      <c r="D32" s="932"/>
      <c r="E32" s="932"/>
      <c r="F32" s="29"/>
      <c r="G32" s="24"/>
    </row>
    <row r="33" spans="1:9" s="24" customFormat="1">
      <c r="A33" s="22"/>
      <c r="B33" s="23"/>
      <c r="C33" s="917" t="s">
        <v>1068</v>
      </c>
      <c r="D33" s="917"/>
      <c r="E33" s="917"/>
      <c r="F33" s="29"/>
    </row>
    <row r="34" spans="1:9" s="26" customFormat="1">
      <c r="A34" s="27"/>
      <c r="B34" s="28"/>
      <c r="D34" s="44"/>
      <c r="E34" s="31"/>
      <c r="F34" s="29"/>
      <c r="G34" s="24"/>
    </row>
    <row r="35" spans="1:9" s="26" customFormat="1" ht="27" customHeight="1">
      <c r="A35" s="27"/>
      <c r="B35" s="28"/>
      <c r="C35" s="931" t="s">
        <v>1071</v>
      </c>
      <c r="D35" s="932"/>
      <c r="E35" s="932"/>
      <c r="F35" s="29"/>
      <c r="G35" s="24"/>
    </row>
    <row r="36" spans="1:9" s="24" customFormat="1">
      <c r="A36" s="22"/>
      <c r="B36" s="23"/>
      <c r="C36" s="917" t="s">
        <v>1070</v>
      </c>
      <c r="D36" s="917"/>
      <c r="E36" s="917"/>
      <c r="F36" s="29"/>
    </row>
    <row r="37" spans="1:9" s="26" customFormat="1">
      <c r="A37" s="27"/>
      <c r="B37" s="28"/>
      <c r="D37" s="44"/>
      <c r="E37" s="31"/>
      <c r="F37" s="29"/>
      <c r="G37" s="24"/>
    </row>
    <row r="38" spans="1:9" s="26" customFormat="1">
      <c r="A38" s="27"/>
      <c r="B38" s="28"/>
      <c r="C38" s="42"/>
      <c r="D38" s="42"/>
      <c r="E38" s="45"/>
      <c r="F38" s="29"/>
      <c r="G38" s="24"/>
    </row>
    <row r="39" spans="1:9" s="26" customFormat="1">
      <c r="A39" s="27"/>
      <c r="B39" s="28"/>
      <c r="F39" s="24"/>
      <c r="G39" s="36"/>
      <c r="H39" s="50"/>
      <c r="I39" s="50"/>
    </row>
    <row r="40" spans="1:9" s="26" customFormat="1">
      <c r="A40" s="27"/>
      <c r="B40" s="28"/>
      <c r="D40" s="44"/>
      <c r="E40" s="934" t="s">
        <v>836</v>
      </c>
      <c r="F40" s="934"/>
      <c r="G40" s="24"/>
    </row>
    <row r="41" spans="1:9" s="26" customFormat="1" ht="16.5" customHeight="1">
      <c r="A41" s="27"/>
      <c r="B41" s="28"/>
      <c r="D41" s="44"/>
      <c r="F41" s="24"/>
      <c r="G41" s="24"/>
    </row>
    <row r="42" spans="1:9" s="26" customFormat="1">
      <c r="A42" s="27"/>
      <c r="B42" s="28"/>
      <c r="D42" s="30"/>
      <c r="E42" s="31"/>
      <c r="F42" s="29"/>
      <c r="G42" s="24"/>
    </row>
    <row r="43" spans="1:9" s="26" customFormat="1" ht="25.5" customHeight="1">
      <c r="A43" s="27"/>
      <c r="B43" s="28"/>
      <c r="D43" s="30"/>
      <c r="E43" s="31"/>
      <c r="F43" s="29"/>
      <c r="G43" s="24"/>
    </row>
    <row r="44" spans="1:9" s="26" customFormat="1">
      <c r="A44" s="27"/>
      <c r="B44" s="28"/>
      <c r="D44" s="30"/>
      <c r="E44" s="31"/>
      <c r="F44" s="29"/>
      <c r="G44" s="24"/>
    </row>
    <row r="45" spans="1:9" s="26" customFormat="1" ht="13.15">
      <c r="A45" s="27"/>
      <c r="B45" s="28"/>
      <c r="C45" s="51" t="s">
        <v>807</v>
      </c>
      <c r="D45" s="29"/>
      <c r="E45" s="25"/>
      <c r="F45" s="29"/>
      <c r="G45" s="24"/>
    </row>
    <row r="46" spans="1:9" s="26" customFormat="1">
      <c r="A46" s="27"/>
      <c r="B46" s="28"/>
      <c r="C46" s="24"/>
      <c r="D46" s="29"/>
      <c r="E46" s="25"/>
      <c r="F46" s="29"/>
      <c r="G46" s="24"/>
    </row>
    <row r="47" spans="1:9" s="26" customFormat="1" ht="41.65">
      <c r="A47" s="27"/>
      <c r="B47" s="28"/>
      <c r="C47" s="52" t="s">
        <v>825</v>
      </c>
      <c r="D47" s="52"/>
      <c r="E47" s="52"/>
      <c r="F47" s="52"/>
      <c r="G47" s="24"/>
    </row>
    <row r="48" spans="1:9" s="26" customFormat="1" ht="111" customHeight="1">
      <c r="A48" s="27"/>
      <c r="B48" s="28"/>
      <c r="C48" s="938" t="s">
        <v>826</v>
      </c>
      <c r="D48" s="938"/>
      <c r="E48" s="938"/>
      <c r="F48" s="938"/>
      <c r="G48" s="24"/>
    </row>
    <row r="49" spans="1:7" s="26" customFormat="1" ht="15" customHeight="1">
      <c r="A49" s="27"/>
      <c r="B49" s="28"/>
      <c r="C49" s="53"/>
      <c r="D49" s="53"/>
      <c r="E49" s="53"/>
      <c r="F49" s="52"/>
      <c r="G49" s="24"/>
    </row>
    <row r="50" spans="1:7" s="26" customFormat="1" ht="255.75" customHeight="1">
      <c r="A50" s="27"/>
      <c r="B50" s="28"/>
      <c r="C50" s="938" t="s">
        <v>2103</v>
      </c>
      <c r="D50" s="938"/>
      <c r="E50" s="938"/>
      <c r="F50" s="938"/>
      <c r="G50" s="24"/>
    </row>
    <row r="51" spans="1:7" s="26" customFormat="1" ht="15" customHeight="1">
      <c r="A51" s="27"/>
      <c r="B51" s="28"/>
      <c r="C51" s="53"/>
      <c r="D51" s="53"/>
      <c r="E51" s="53"/>
      <c r="F51" s="52"/>
      <c r="G51" s="24"/>
    </row>
    <row r="52" spans="1:7" s="26" customFormat="1" ht="60" customHeight="1">
      <c r="A52" s="27"/>
      <c r="B52" s="28"/>
      <c r="C52" s="938" t="s">
        <v>2102</v>
      </c>
      <c r="D52" s="938"/>
      <c r="E52" s="938"/>
      <c r="F52" s="938"/>
      <c r="G52" s="24"/>
    </row>
    <row r="53" spans="1:7" s="26" customFormat="1" ht="15" customHeight="1">
      <c r="A53" s="27"/>
      <c r="B53" s="28"/>
      <c r="C53" s="53"/>
      <c r="D53" s="53"/>
      <c r="E53" s="53"/>
      <c r="F53" s="52"/>
      <c r="G53" s="24"/>
    </row>
    <row r="54" spans="1:7" s="26" customFormat="1" ht="15" customHeight="1">
      <c r="A54" s="27"/>
      <c r="B54" s="28"/>
      <c r="C54" s="53"/>
      <c r="D54" s="53"/>
      <c r="E54" s="53"/>
      <c r="F54" s="52"/>
      <c r="G54" s="24"/>
    </row>
    <row r="55" spans="1:7" s="26" customFormat="1" ht="15" customHeight="1">
      <c r="A55" s="27"/>
      <c r="B55" s="28"/>
      <c r="C55" s="53"/>
      <c r="D55" s="53"/>
      <c r="E55" s="53"/>
      <c r="F55" s="52"/>
      <c r="G55" s="24"/>
    </row>
    <row r="56" spans="1:7" s="26" customFormat="1" ht="15" customHeight="1">
      <c r="A56" s="27"/>
      <c r="B56" s="28"/>
      <c r="C56" s="53"/>
      <c r="D56" s="53"/>
      <c r="E56" s="53"/>
      <c r="F56" s="52"/>
      <c r="G56" s="24"/>
    </row>
    <row r="57" spans="1:7" s="26" customFormat="1" ht="15" customHeight="1">
      <c r="A57" s="27"/>
      <c r="B57" s="28"/>
      <c r="C57" s="53"/>
      <c r="D57" s="53"/>
      <c r="E57" s="53"/>
      <c r="F57" s="52"/>
      <c r="G57" s="24"/>
    </row>
    <row r="58" spans="1:7" s="26" customFormat="1" ht="15" customHeight="1">
      <c r="A58" s="27"/>
      <c r="B58" s="28"/>
      <c r="C58" s="53"/>
      <c r="D58" s="53"/>
      <c r="E58" s="53"/>
      <c r="F58" s="52"/>
      <c r="G58" s="24"/>
    </row>
    <row r="59" spans="1:7" s="26" customFormat="1" ht="15" customHeight="1">
      <c r="A59" s="27"/>
      <c r="B59" s="28"/>
      <c r="C59" s="53"/>
      <c r="D59" s="53"/>
      <c r="E59" s="53"/>
      <c r="F59" s="52"/>
      <c r="G59" s="24"/>
    </row>
    <row r="60" spans="1:7" s="26" customFormat="1" ht="15" customHeight="1">
      <c r="A60" s="27"/>
      <c r="B60" s="28"/>
      <c r="C60" s="53"/>
      <c r="D60" s="53"/>
      <c r="E60" s="53"/>
      <c r="F60" s="52"/>
      <c r="G60" s="24"/>
    </row>
    <row r="61" spans="1:7" s="26" customFormat="1" ht="15" customHeight="1">
      <c r="A61" s="27"/>
      <c r="B61" s="28"/>
      <c r="C61" s="53"/>
      <c r="D61" s="53"/>
      <c r="E61" s="53"/>
      <c r="F61" s="52"/>
      <c r="G61" s="24"/>
    </row>
    <row r="62" spans="1:7" s="26" customFormat="1" ht="15" customHeight="1">
      <c r="A62" s="27"/>
      <c r="B62" s="28"/>
      <c r="C62" s="53"/>
      <c r="D62" s="53"/>
      <c r="E62" s="53"/>
      <c r="F62" s="52"/>
      <c r="G62" s="24"/>
    </row>
    <row r="63" spans="1:7" s="26" customFormat="1" ht="15" customHeight="1">
      <c r="A63" s="27"/>
      <c r="B63" s="28"/>
      <c r="C63" s="53"/>
      <c r="D63" s="53"/>
      <c r="E63" s="53"/>
      <c r="F63" s="52"/>
      <c r="G63" s="24"/>
    </row>
    <row r="64" spans="1:7" s="26" customFormat="1" ht="13.9">
      <c r="A64" s="27"/>
      <c r="B64" s="28"/>
      <c r="C64" s="53"/>
      <c r="D64" s="53"/>
      <c r="E64" s="53"/>
      <c r="F64" s="52"/>
      <c r="G64" s="24"/>
    </row>
    <row r="65" spans="1:7" s="26" customFormat="1" ht="13.15">
      <c r="A65" s="27"/>
      <c r="B65" s="28"/>
      <c r="C65" s="54"/>
      <c r="D65" s="44"/>
      <c r="E65" s="31"/>
      <c r="F65" s="29"/>
      <c r="G65" s="24"/>
    </row>
    <row r="66" spans="1:7" s="26" customFormat="1">
      <c r="A66" s="27"/>
      <c r="B66" s="28"/>
      <c r="C66" s="24" t="s">
        <v>3</v>
      </c>
      <c r="D66" s="24" t="s">
        <v>830</v>
      </c>
      <c r="E66" s="25"/>
      <c r="F66" s="24"/>
      <c r="G66" s="24"/>
    </row>
    <row r="67" spans="1:7" s="26" customFormat="1">
      <c r="A67" s="27"/>
      <c r="B67" s="28"/>
      <c r="C67" s="24"/>
      <c r="D67" s="29" t="s">
        <v>834</v>
      </c>
      <c r="E67" s="25"/>
      <c r="F67" s="24"/>
      <c r="G67" s="24"/>
    </row>
    <row r="68" spans="1:7" s="26" customFormat="1">
      <c r="A68" s="27"/>
      <c r="B68" s="28"/>
      <c r="D68" s="29" t="s">
        <v>835</v>
      </c>
      <c r="E68" s="31"/>
      <c r="F68" s="24"/>
      <c r="G68" s="24"/>
    </row>
    <row r="69" spans="1:7" s="26" customFormat="1">
      <c r="A69" s="27"/>
      <c r="B69" s="28"/>
      <c r="D69" s="30"/>
      <c r="E69" s="31"/>
      <c r="F69" s="24"/>
      <c r="G69" s="24"/>
    </row>
    <row r="70" spans="1:7" s="26" customFormat="1" ht="45" customHeight="1">
      <c r="A70" s="27"/>
      <c r="B70" s="28"/>
      <c r="C70" s="35" t="s">
        <v>0</v>
      </c>
      <c r="D70" s="926" t="s">
        <v>833</v>
      </c>
      <c r="E70" s="926"/>
      <c r="F70" s="926"/>
      <c r="G70" s="926"/>
    </row>
    <row r="71" spans="1:7" s="26" customFormat="1" ht="13.5" customHeight="1">
      <c r="A71" s="27"/>
      <c r="D71" s="925"/>
      <c r="E71" s="925"/>
      <c r="F71" s="925"/>
      <c r="G71" s="925"/>
    </row>
    <row r="72" spans="1:7" s="26" customFormat="1">
      <c r="A72" s="27"/>
      <c r="B72" s="28"/>
      <c r="D72" s="30"/>
      <c r="E72" s="34"/>
      <c r="F72" s="24"/>
      <c r="G72" s="24"/>
    </row>
    <row r="73" spans="1:7" s="26" customFormat="1" ht="51.75" customHeight="1">
      <c r="A73" s="27"/>
      <c r="B73" s="28"/>
      <c r="C73" s="35" t="s">
        <v>4</v>
      </c>
      <c r="D73" s="927" t="s">
        <v>832</v>
      </c>
      <c r="E73" s="927"/>
      <c r="F73" s="927"/>
      <c r="G73" s="927"/>
    </row>
    <row r="74" spans="1:7" s="26" customFormat="1">
      <c r="A74" s="27"/>
      <c r="B74" s="28"/>
      <c r="D74" s="30"/>
      <c r="E74" s="31"/>
      <c r="F74" s="24"/>
      <c r="G74" s="24"/>
    </row>
    <row r="75" spans="1:7" s="26" customFormat="1">
      <c r="A75" s="27"/>
      <c r="B75" s="28"/>
      <c r="C75" s="24" t="s">
        <v>5</v>
      </c>
      <c r="D75" s="928" t="s">
        <v>831</v>
      </c>
      <c r="E75" s="928"/>
      <c r="F75" s="928"/>
      <c r="G75" s="24"/>
    </row>
    <row r="76" spans="1:7" s="26" customFormat="1">
      <c r="A76" s="27"/>
      <c r="B76" s="28"/>
      <c r="D76" s="30"/>
      <c r="E76" s="31"/>
      <c r="F76" s="29"/>
      <c r="G76" s="24"/>
    </row>
    <row r="77" spans="1:7" s="26" customFormat="1" ht="41.25" customHeight="1">
      <c r="A77" s="27"/>
      <c r="B77" s="28"/>
      <c r="D77" s="30"/>
      <c r="E77" s="31"/>
      <c r="F77" s="29"/>
      <c r="G77" s="24"/>
    </row>
    <row r="78" spans="1:7" s="57" customFormat="1" ht="78" customHeight="1">
      <c r="A78" s="55"/>
      <c r="B78" s="56"/>
      <c r="C78" s="937" t="s">
        <v>1154</v>
      </c>
      <c r="D78" s="937"/>
      <c r="E78" s="937"/>
      <c r="F78" s="937"/>
      <c r="G78" s="937"/>
    </row>
    <row r="79" spans="1:7" s="57" customFormat="1" ht="17.649999999999999">
      <c r="A79" s="55"/>
      <c r="B79" s="56"/>
      <c r="C79" s="903" t="s">
        <v>805</v>
      </c>
      <c r="D79" s="903"/>
      <c r="E79" s="903"/>
      <c r="F79" s="903"/>
      <c r="G79" s="903"/>
    </row>
    <row r="80" spans="1:7" s="57" customFormat="1" ht="13.15">
      <c r="A80" s="55"/>
      <c r="B80" s="56"/>
      <c r="C80" s="58"/>
      <c r="D80" s="59"/>
      <c r="E80" s="60"/>
      <c r="F80" s="61"/>
      <c r="G80" s="62"/>
    </row>
    <row r="81" spans="1:7" s="57" customFormat="1" ht="13.15">
      <c r="A81" s="55"/>
      <c r="B81" s="56"/>
      <c r="C81" s="58"/>
      <c r="D81" s="59"/>
      <c r="E81" s="60"/>
      <c r="F81" s="61"/>
      <c r="G81" s="62"/>
    </row>
    <row r="82" spans="1:7" s="61" customFormat="1" ht="25.5">
      <c r="A82" s="63"/>
      <c r="B82" s="64" t="s">
        <v>144</v>
      </c>
      <c r="C82" s="43" t="s">
        <v>1065</v>
      </c>
      <c r="D82" s="65"/>
      <c r="E82" s="69"/>
      <c r="F82" s="62"/>
      <c r="G82" s="62">
        <f>G194</f>
        <v>92133.331999999995</v>
      </c>
    </row>
    <row r="83" spans="1:7" s="57" customFormat="1" ht="13.15">
      <c r="A83" s="55"/>
      <c r="B83" s="67"/>
      <c r="C83" s="68"/>
      <c r="D83" s="59"/>
      <c r="E83" s="359"/>
      <c r="F83" s="62"/>
      <c r="G83" s="62"/>
    </row>
    <row r="84" spans="1:7" s="61" customFormat="1">
      <c r="A84" s="63"/>
      <c r="B84" s="64" t="s">
        <v>145</v>
      </c>
      <c r="C84" s="43" t="s">
        <v>1066</v>
      </c>
      <c r="D84" s="65"/>
      <c r="E84" s="69"/>
      <c r="F84" s="69"/>
      <c r="G84" s="62">
        <f>promet!F320</f>
        <v>0</v>
      </c>
    </row>
    <row r="85" spans="1:7" s="57" customFormat="1">
      <c r="A85" s="55"/>
      <c r="B85" s="70"/>
      <c r="C85" s="68"/>
      <c r="D85" s="59"/>
      <c r="E85" s="359"/>
      <c r="F85" s="62"/>
      <c r="G85" s="62"/>
    </row>
    <row r="86" spans="1:7" s="61" customFormat="1" ht="25.5">
      <c r="A86" s="63"/>
      <c r="B86" s="64" t="s">
        <v>146</v>
      </c>
      <c r="C86" s="71" t="s">
        <v>1062</v>
      </c>
      <c r="D86" s="65"/>
      <c r="E86" s="69"/>
      <c r="F86" s="69"/>
      <c r="G86" s="62">
        <f>strojarstvo!F319</f>
        <v>0</v>
      </c>
    </row>
    <row r="87" spans="1:7" s="57" customFormat="1">
      <c r="A87" s="55"/>
      <c r="B87" s="70"/>
      <c r="C87" s="68"/>
      <c r="D87" s="59"/>
      <c r="E87" s="359"/>
      <c r="F87" s="69"/>
      <c r="G87" s="62"/>
    </row>
    <row r="88" spans="1:7" s="61" customFormat="1" ht="12.75" customHeight="1">
      <c r="A88" s="63"/>
      <c r="B88" s="64" t="s">
        <v>147</v>
      </c>
      <c r="C88" s="71" t="s">
        <v>69</v>
      </c>
      <c r="D88" s="65"/>
      <c r="E88" s="69"/>
      <c r="F88" s="69"/>
      <c r="G88" s="62">
        <f>elektro!E482</f>
        <v>0</v>
      </c>
    </row>
    <row r="89" spans="1:7" s="57" customFormat="1" ht="12.75" customHeight="1">
      <c r="A89" s="55"/>
      <c r="B89" s="70"/>
      <c r="C89" s="68"/>
      <c r="D89" s="59"/>
      <c r="E89" s="359"/>
      <c r="F89" s="69"/>
      <c r="G89" s="62"/>
    </row>
    <row r="90" spans="1:7" s="61" customFormat="1">
      <c r="A90" s="63"/>
      <c r="B90" s="64" t="s">
        <v>148</v>
      </c>
      <c r="C90" s="32" t="s">
        <v>1069</v>
      </c>
      <c r="D90" s="65"/>
      <c r="E90" s="69"/>
      <c r="F90" s="69"/>
      <c r="G90" s="62">
        <f>ViK!K157</f>
        <v>1380</v>
      </c>
    </row>
    <row r="91" spans="1:7" s="57" customFormat="1" ht="12.75" customHeight="1">
      <c r="A91" s="55"/>
      <c r="B91" s="70"/>
      <c r="C91" s="68"/>
      <c r="D91" s="59"/>
      <c r="E91" s="359"/>
      <c r="F91" s="69"/>
      <c r="G91" s="62"/>
    </row>
    <row r="92" spans="1:7" s="57" customFormat="1">
      <c r="A92" s="55"/>
      <c r="B92" s="70"/>
      <c r="C92" s="68"/>
      <c r="D92" s="59"/>
      <c r="E92" s="359"/>
      <c r="F92" s="69"/>
      <c r="G92" s="62"/>
    </row>
    <row r="93" spans="1:7" s="61" customFormat="1" ht="13.15">
      <c r="A93" s="63"/>
      <c r="B93" s="72"/>
      <c r="C93" s="73" t="s">
        <v>1063</v>
      </c>
      <c r="D93" s="74"/>
      <c r="E93" s="75"/>
      <c r="F93" s="75"/>
      <c r="G93" s="75">
        <f>SUM(G82:G90)</f>
        <v>93513.331999999995</v>
      </c>
    </row>
    <row r="94" spans="1:7" s="61" customFormat="1">
      <c r="A94" s="63"/>
      <c r="B94" s="76"/>
      <c r="C94" s="71"/>
      <c r="D94" s="65"/>
      <c r="E94" s="69"/>
      <c r="F94" s="69"/>
      <c r="G94" s="62"/>
    </row>
    <row r="95" spans="1:7" s="61" customFormat="1">
      <c r="A95" s="63"/>
      <c r="B95" s="72"/>
      <c r="C95" s="77" t="s">
        <v>58</v>
      </c>
      <c r="D95" s="74"/>
      <c r="E95" s="75"/>
      <c r="F95" s="75"/>
      <c r="G95" s="78">
        <f>G93*0.25</f>
        <v>23378.332999999999</v>
      </c>
    </row>
    <row r="96" spans="1:7" s="61" customFormat="1" ht="12.75" customHeight="1">
      <c r="A96" s="63"/>
      <c r="B96" s="76"/>
      <c r="C96" s="71"/>
      <c r="D96" s="65"/>
      <c r="E96" s="69"/>
      <c r="F96" s="69"/>
      <c r="G96" s="62"/>
    </row>
    <row r="97" spans="1:7" s="61" customFormat="1" ht="13.5" thickBot="1">
      <c r="A97" s="63"/>
      <c r="B97" s="79"/>
      <c r="C97" s="80" t="s">
        <v>1064</v>
      </c>
      <c r="D97" s="81"/>
      <c r="E97" s="429"/>
      <c r="F97" s="82"/>
      <c r="G97" s="82">
        <f>G93+G95</f>
        <v>116891.66499999999</v>
      </c>
    </row>
    <row r="98" spans="1:7" s="57" customFormat="1" ht="13.15" thickTop="1">
      <c r="A98" s="55"/>
      <c r="B98" s="83"/>
      <c r="E98" s="84"/>
      <c r="F98" s="61"/>
      <c r="G98" s="61"/>
    </row>
    <row r="99" spans="1:7" s="57" customFormat="1">
      <c r="A99" s="55"/>
      <c r="B99" s="83"/>
      <c r="E99" s="84"/>
      <c r="F99" s="61"/>
      <c r="G99" s="61"/>
    </row>
    <row r="100" spans="1:7" s="57" customFormat="1">
      <c r="A100" s="55"/>
      <c r="B100" s="83"/>
      <c r="E100" s="84"/>
      <c r="F100" s="61"/>
      <c r="G100" s="61"/>
    </row>
    <row r="101" spans="1:7" s="57" customFormat="1">
      <c r="A101" s="85"/>
      <c r="B101" s="86"/>
      <c r="C101" s="87"/>
      <c r="D101" s="87"/>
      <c r="E101" s="88"/>
      <c r="F101" s="89"/>
      <c r="G101" s="89"/>
    </row>
    <row r="102" spans="1:7" s="57" customFormat="1">
      <c r="A102" s="85"/>
      <c r="B102" s="86"/>
      <c r="C102" s="87"/>
      <c r="D102" s="87"/>
      <c r="E102" s="88"/>
      <c r="F102" s="89"/>
      <c r="G102" s="89"/>
    </row>
    <row r="103" spans="1:7" s="26" customFormat="1">
      <c r="A103" s="90"/>
      <c r="B103" s="91"/>
      <c r="C103" s="92"/>
      <c r="D103" s="93"/>
      <c r="E103" s="94"/>
      <c r="F103" s="95"/>
      <c r="G103" s="96"/>
    </row>
    <row r="104" spans="1:7" s="26" customFormat="1">
      <c r="A104" s="90"/>
      <c r="B104" s="91"/>
      <c r="C104" s="96" t="s">
        <v>3</v>
      </c>
      <c r="D104" s="96" t="s">
        <v>830</v>
      </c>
      <c r="E104" s="97"/>
      <c r="F104" s="96"/>
      <c r="G104" s="96"/>
    </row>
    <row r="105" spans="1:7" s="26" customFormat="1">
      <c r="A105" s="90"/>
      <c r="B105" s="91"/>
      <c r="C105" s="96"/>
      <c r="D105" s="95" t="s">
        <v>837</v>
      </c>
      <c r="E105" s="97"/>
      <c r="F105" s="96"/>
      <c r="G105" s="96"/>
    </row>
    <row r="106" spans="1:7" s="26" customFormat="1">
      <c r="A106" s="90"/>
      <c r="B106" s="91"/>
      <c r="C106" s="96"/>
      <c r="D106" s="95" t="s">
        <v>835</v>
      </c>
      <c r="E106" s="97"/>
      <c r="F106" s="96"/>
      <c r="G106" s="96"/>
    </row>
    <row r="107" spans="1:7" s="26" customFormat="1">
      <c r="A107" s="90"/>
      <c r="B107" s="91"/>
      <c r="C107" s="92"/>
      <c r="D107" s="98"/>
      <c r="E107" s="94"/>
      <c r="F107" s="96"/>
      <c r="G107" s="96"/>
    </row>
    <row r="108" spans="1:7" s="26" customFormat="1" ht="42.75" customHeight="1">
      <c r="A108" s="90"/>
      <c r="B108" s="91"/>
      <c r="C108" s="99" t="s">
        <v>0</v>
      </c>
      <c r="D108" s="930" t="s">
        <v>833</v>
      </c>
      <c r="E108" s="930"/>
      <c r="F108" s="930"/>
      <c r="G108" s="930"/>
    </row>
    <row r="109" spans="1:7" s="26" customFormat="1" ht="39.75" customHeight="1">
      <c r="A109" s="90"/>
      <c r="B109" s="92"/>
      <c r="C109" s="92"/>
      <c r="D109" s="939"/>
      <c r="E109" s="939"/>
      <c r="F109" s="939"/>
      <c r="G109" s="939"/>
    </row>
    <row r="110" spans="1:7" s="26" customFormat="1">
      <c r="A110" s="90"/>
      <c r="B110" s="91"/>
      <c r="C110" s="92"/>
      <c r="D110" s="98"/>
      <c r="E110" s="100"/>
      <c r="F110" s="96"/>
      <c r="G110" s="96"/>
    </row>
    <row r="111" spans="1:7" s="26" customFormat="1" ht="53.25" customHeight="1">
      <c r="A111" s="90"/>
      <c r="B111" s="91"/>
      <c r="C111" s="96" t="s">
        <v>4</v>
      </c>
      <c r="D111" s="940" t="s">
        <v>832</v>
      </c>
      <c r="E111" s="940"/>
      <c r="F111" s="940"/>
      <c r="G111" s="940"/>
    </row>
    <row r="112" spans="1:7" s="26" customFormat="1">
      <c r="A112" s="90"/>
      <c r="B112" s="91"/>
      <c r="C112" s="96"/>
      <c r="D112" s="95"/>
      <c r="E112" s="97"/>
      <c r="F112" s="96"/>
      <c r="G112" s="96"/>
    </row>
    <row r="113" spans="1:7" s="26" customFormat="1">
      <c r="A113" s="90"/>
      <c r="B113" s="91"/>
      <c r="C113" s="96" t="s">
        <v>5</v>
      </c>
      <c r="D113" s="919" t="s">
        <v>831</v>
      </c>
      <c r="E113" s="919"/>
      <c r="F113" s="919"/>
      <c r="G113" s="96"/>
    </row>
    <row r="114" spans="1:7" s="26" customFormat="1">
      <c r="A114" s="90"/>
      <c r="B114" s="91"/>
      <c r="C114" s="92"/>
      <c r="D114" s="98"/>
      <c r="E114" s="94"/>
      <c r="F114" s="95"/>
      <c r="G114" s="96"/>
    </row>
    <row r="115" spans="1:7" s="26" customFormat="1">
      <c r="A115" s="90"/>
      <c r="B115" s="91"/>
      <c r="C115" s="92"/>
      <c r="D115" s="98"/>
      <c r="E115" s="94"/>
      <c r="F115" s="95"/>
      <c r="G115" s="96"/>
    </row>
    <row r="116" spans="1:7" s="26" customFormat="1">
      <c r="A116" s="90"/>
      <c r="B116" s="91"/>
      <c r="C116" s="92"/>
      <c r="D116" s="98"/>
      <c r="E116" s="94"/>
      <c r="F116" s="95"/>
      <c r="G116" s="96"/>
    </row>
    <row r="117" spans="1:7" s="26" customFormat="1">
      <c r="A117" s="90"/>
      <c r="B117" s="91"/>
      <c r="C117" s="92"/>
      <c r="D117" s="98"/>
      <c r="E117" s="94"/>
      <c r="F117" s="95"/>
      <c r="G117" s="96"/>
    </row>
    <row r="118" spans="1:7" s="26" customFormat="1">
      <c r="A118" s="90"/>
      <c r="B118" s="91"/>
      <c r="C118" s="92"/>
      <c r="D118" s="98"/>
      <c r="E118" s="94"/>
      <c r="F118" s="95"/>
      <c r="G118" s="96"/>
    </row>
    <row r="119" spans="1:7" s="26" customFormat="1">
      <c r="A119" s="90"/>
      <c r="B119" s="91"/>
      <c r="C119" s="92"/>
      <c r="D119" s="98"/>
      <c r="E119" s="94"/>
      <c r="F119" s="95"/>
      <c r="G119" s="96"/>
    </row>
    <row r="120" spans="1:7" s="26" customFormat="1">
      <c r="A120" s="90"/>
      <c r="B120" s="91"/>
      <c r="C120" s="92"/>
      <c r="D120" s="98"/>
      <c r="E120" s="94"/>
      <c r="F120" s="95"/>
      <c r="G120" s="96"/>
    </row>
    <row r="121" spans="1:7" s="26" customFormat="1">
      <c r="A121" s="90"/>
      <c r="B121" s="91"/>
      <c r="C121" s="92"/>
      <c r="D121" s="98"/>
      <c r="E121" s="94"/>
      <c r="F121" s="95"/>
      <c r="G121" s="96"/>
    </row>
    <row r="122" spans="1:7" s="26" customFormat="1">
      <c r="A122" s="90"/>
      <c r="B122" s="91"/>
      <c r="C122" s="92"/>
      <c r="D122" s="98"/>
      <c r="E122" s="94"/>
      <c r="F122" s="95"/>
      <c r="G122" s="96"/>
    </row>
    <row r="123" spans="1:7" s="26" customFormat="1">
      <c r="A123" s="90"/>
      <c r="B123" s="91"/>
      <c r="C123" s="92"/>
      <c r="D123" s="98"/>
      <c r="E123" s="94"/>
      <c r="F123" s="95"/>
      <c r="G123" s="96"/>
    </row>
    <row r="124" spans="1:7" s="26" customFormat="1">
      <c r="A124" s="90"/>
      <c r="B124" s="91"/>
      <c r="C124" s="92"/>
      <c r="D124" s="98"/>
      <c r="E124" s="94"/>
      <c r="F124" s="95"/>
      <c r="G124" s="96"/>
    </row>
    <row r="125" spans="1:7" s="26" customFormat="1">
      <c r="A125" s="90"/>
      <c r="B125" s="91"/>
      <c r="C125" s="92"/>
      <c r="D125" s="98"/>
      <c r="E125" s="94"/>
      <c r="F125" s="95"/>
      <c r="G125" s="96"/>
    </row>
    <row r="126" spans="1:7" s="26" customFormat="1" ht="17.649999999999999">
      <c r="A126" s="935" t="s">
        <v>809</v>
      </c>
      <c r="B126" s="936"/>
      <c r="C126" s="936"/>
      <c r="D126" s="936"/>
      <c r="E126" s="936"/>
      <c r="F126" s="936"/>
      <c r="G126" s="96"/>
    </row>
    <row r="127" spans="1:7" s="26" customFormat="1" ht="17.649999999999999">
      <c r="A127" s="935" t="s">
        <v>803</v>
      </c>
      <c r="B127" s="935"/>
      <c r="C127" s="935"/>
      <c r="D127" s="935"/>
      <c r="E127" s="935"/>
      <c r="F127" s="935"/>
      <c r="G127" s="96"/>
    </row>
    <row r="128" spans="1:7" s="26" customFormat="1" ht="17.649999999999999">
      <c r="A128" s="102"/>
      <c r="B128" s="103"/>
      <c r="C128" s="103"/>
      <c r="D128" s="103"/>
      <c r="E128" s="103"/>
      <c r="F128" s="101"/>
      <c r="G128" s="96"/>
    </row>
    <row r="129" spans="1:7" s="26" customFormat="1" ht="17.649999999999999">
      <c r="A129" s="102"/>
      <c r="B129" s="103"/>
      <c r="C129" s="103"/>
      <c r="D129" s="103"/>
      <c r="E129" s="103"/>
      <c r="F129" s="101"/>
      <c r="G129" s="96"/>
    </row>
    <row r="130" spans="1:7" s="26" customFormat="1" ht="17.649999999999999">
      <c r="A130" s="102"/>
      <c r="B130" s="103"/>
      <c r="C130" s="103"/>
      <c r="D130" s="103"/>
      <c r="E130" s="103"/>
      <c r="F130" s="101"/>
      <c r="G130" s="96"/>
    </row>
    <row r="131" spans="1:7" s="26" customFormat="1" ht="17.649999999999999">
      <c r="A131" s="102"/>
      <c r="B131" s="103"/>
      <c r="C131" s="103"/>
      <c r="D131" s="103"/>
      <c r="E131" s="103"/>
      <c r="F131" s="101"/>
      <c r="G131" s="96"/>
    </row>
    <row r="132" spans="1:7" s="26" customFormat="1" ht="17.649999999999999">
      <c r="A132" s="102"/>
      <c r="B132" s="103"/>
      <c r="C132" s="103"/>
      <c r="D132" s="103"/>
      <c r="E132" s="103"/>
      <c r="F132" s="101"/>
      <c r="G132" s="96"/>
    </row>
    <row r="133" spans="1:7" s="26" customFormat="1" ht="17.649999999999999">
      <c r="A133" s="102"/>
      <c r="B133" s="103"/>
      <c r="C133" s="103"/>
      <c r="D133" s="103"/>
      <c r="E133" s="103"/>
      <c r="F133" s="101"/>
      <c r="G133" s="96"/>
    </row>
    <row r="134" spans="1:7" s="26" customFormat="1" ht="13.15">
      <c r="A134" s="90"/>
      <c r="B134" s="91"/>
      <c r="C134" s="104"/>
      <c r="D134" s="93"/>
      <c r="E134" s="94"/>
      <c r="F134" s="95"/>
      <c r="G134" s="96"/>
    </row>
    <row r="135" spans="1:7" s="26" customFormat="1" ht="13.15">
      <c r="A135" s="90"/>
      <c r="B135" s="91"/>
      <c r="C135" s="104"/>
      <c r="D135" s="93"/>
      <c r="E135" s="94"/>
      <c r="F135" s="95"/>
      <c r="G135" s="96"/>
    </row>
    <row r="136" spans="1:7" s="26" customFormat="1" ht="13.15">
      <c r="A136" s="90"/>
      <c r="B136" s="91"/>
      <c r="C136" s="104"/>
      <c r="D136" s="93"/>
      <c r="E136" s="94"/>
      <c r="F136" s="95"/>
      <c r="G136" s="96"/>
    </row>
    <row r="137" spans="1:7" s="26" customFormat="1">
      <c r="A137" s="90"/>
      <c r="B137" s="91"/>
      <c r="C137" s="96" t="s">
        <v>806</v>
      </c>
      <c r="D137" s="924" t="s">
        <v>839</v>
      </c>
      <c r="E137" s="924"/>
      <c r="F137" s="924"/>
      <c r="G137" s="96"/>
    </row>
    <row r="138" spans="1:7" s="26" customFormat="1">
      <c r="A138" s="90"/>
      <c r="B138" s="92"/>
      <c r="C138" s="92"/>
      <c r="D138" s="98"/>
      <c r="E138" s="100"/>
      <c r="F138" s="96"/>
      <c r="G138" s="96"/>
    </row>
    <row r="139" spans="1:7" s="26" customFormat="1">
      <c r="A139" s="90"/>
      <c r="B139" s="91"/>
      <c r="C139" s="92"/>
      <c r="D139" s="98"/>
      <c r="E139" s="94"/>
      <c r="F139" s="96"/>
      <c r="G139" s="96"/>
    </row>
    <row r="140" spans="1:7" s="26" customFormat="1">
      <c r="A140" s="90"/>
      <c r="B140" s="91"/>
      <c r="C140" s="92"/>
      <c r="D140" s="98"/>
      <c r="E140" s="94"/>
      <c r="F140" s="96"/>
      <c r="G140" s="96"/>
    </row>
    <row r="141" spans="1:7" s="26" customFormat="1">
      <c r="A141" s="90"/>
      <c r="B141" s="91"/>
      <c r="C141" s="92"/>
      <c r="D141" s="98"/>
      <c r="E141" s="94"/>
      <c r="F141" s="96"/>
      <c r="G141" s="96"/>
    </row>
    <row r="142" spans="1:7" s="26" customFormat="1">
      <c r="A142" s="90"/>
      <c r="B142" s="91"/>
      <c r="C142" s="92"/>
      <c r="D142" s="98"/>
      <c r="E142" s="94"/>
      <c r="F142" s="96"/>
      <c r="G142" s="96"/>
    </row>
    <row r="143" spans="1:7" s="26" customFormat="1">
      <c r="A143" s="90"/>
      <c r="B143" s="91"/>
      <c r="C143" s="92"/>
      <c r="D143" s="98"/>
      <c r="E143" s="94"/>
      <c r="F143" s="96"/>
      <c r="G143" s="96"/>
    </row>
    <row r="144" spans="1:7" s="26" customFormat="1">
      <c r="A144" s="90"/>
      <c r="B144" s="91"/>
      <c r="C144" s="92"/>
      <c r="D144" s="98"/>
      <c r="E144" s="94"/>
      <c r="F144" s="96"/>
      <c r="G144" s="96"/>
    </row>
    <row r="145" spans="1:9" s="26" customFormat="1" ht="12.75" customHeight="1">
      <c r="A145" s="90"/>
      <c r="B145" s="91"/>
      <c r="C145" s="92"/>
      <c r="D145" s="920" t="s">
        <v>838</v>
      </c>
      <c r="E145" s="920"/>
      <c r="F145" s="920"/>
      <c r="G145" s="920"/>
      <c r="H145" s="50"/>
      <c r="I145" s="50"/>
    </row>
    <row r="146" spans="1:9" s="26" customFormat="1" ht="13.15">
      <c r="A146" s="90"/>
      <c r="B146" s="91"/>
      <c r="C146" s="104"/>
      <c r="D146" s="93"/>
      <c r="E146" s="94"/>
      <c r="F146" s="95"/>
      <c r="G146" s="96"/>
    </row>
    <row r="147" spans="1:9" s="26" customFormat="1" ht="13.15">
      <c r="A147" s="90"/>
      <c r="B147" s="91"/>
      <c r="C147" s="104"/>
      <c r="D147" s="93"/>
      <c r="E147" s="94"/>
      <c r="F147" s="95"/>
      <c r="G147" s="96"/>
    </row>
    <row r="148" spans="1:9" s="26" customFormat="1" ht="13.15">
      <c r="A148" s="90"/>
      <c r="B148" s="91"/>
      <c r="C148" s="104"/>
      <c r="D148" s="93"/>
      <c r="E148" s="94"/>
      <c r="F148" s="95"/>
      <c r="G148" s="96"/>
    </row>
    <row r="149" spans="1:9" s="26" customFormat="1" ht="13.15">
      <c r="A149" s="90"/>
      <c r="B149" s="91"/>
      <c r="C149" s="104"/>
      <c r="D149" s="93"/>
      <c r="E149" s="94"/>
      <c r="F149" s="95"/>
      <c r="G149" s="96"/>
    </row>
    <row r="150" spans="1:9" s="26" customFormat="1">
      <c r="A150" s="27"/>
      <c r="B150" s="28"/>
      <c r="D150" s="44"/>
      <c r="E150" s="31"/>
      <c r="F150" s="29"/>
      <c r="G150" s="24"/>
    </row>
    <row r="151" spans="1:9" s="26" customFormat="1" ht="15" customHeight="1">
      <c r="A151" s="27"/>
      <c r="B151" s="105"/>
      <c r="C151" s="929" t="s">
        <v>804</v>
      </c>
      <c r="D151" s="929"/>
      <c r="E151" s="929"/>
      <c r="F151" s="929"/>
      <c r="G151" s="24"/>
    </row>
    <row r="152" spans="1:9" s="26" customFormat="1" ht="15" customHeight="1">
      <c r="A152" s="27"/>
      <c r="B152" s="105"/>
      <c r="C152" s="107"/>
      <c r="D152" s="107"/>
      <c r="E152" s="108"/>
      <c r="F152" s="106"/>
      <c r="G152" s="24"/>
    </row>
    <row r="153" spans="1:9" s="26" customFormat="1" ht="15" customHeight="1">
      <c r="A153" s="27"/>
      <c r="B153" s="105"/>
      <c r="C153" s="107"/>
      <c r="D153" s="107"/>
      <c r="E153" s="108"/>
      <c r="F153" s="106"/>
      <c r="G153" s="24"/>
    </row>
    <row r="154" spans="1:9" s="26" customFormat="1" ht="15" customHeight="1">
      <c r="A154" s="27"/>
      <c r="B154" s="105"/>
      <c r="C154" s="107"/>
      <c r="D154" s="107"/>
      <c r="E154" s="108"/>
      <c r="F154" s="106"/>
      <c r="G154" s="24"/>
    </row>
    <row r="155" spans="1:9" s="26" customFormat="1" ht="15" customHeight="1">
      <c r="A155" s="27"/>
      <c r="B155" s="105"/>
      <c r="C155" s="107"/>
      <c r="D155" s="107"/>
      <c r="E155" s="108"/>
      <c r="F155" s="106"/>
      <c r="G155" s="24"/>
    </row>
    <row r="156" spans="1:9" s="26" customFormat="1" ht="15" customHeight="1">
      <c r="A156" s="27"/>
      <c r="B156" s="105"/>
      <c r="D156" s="50"/>
      <c r="E156" s="31"/>
      <c r="F156" s="24"/>
      <c r="G156" s="24"/>
    </row>
    <row r="157" spans="1:9" s="24" customFormat="1" ht="13.15">
      <c r="A157" s="22"/>
      <c r="B157" s="106" t="s">
        <v>6</v>
      </c>
      <c r="C157" s="109" t="s">
        <v>7</v>
      </c>
      <c r="D157" s="51"/>
      <c r="E157" s="25"/>
    </row>
    <row r="158" spans="1:9" s="24" customFormat="1">
      <c r="A158" s="22"/>
      <c r="B158" s="23"/>
      <c r="D158" s="110"/>
      <c r="E158" s="25"/>
      <c r="F158" s="29"/>
    </row>
    <row r="159" spans="1:9" s="24" customFormat="1" ht="13.15">
      <c r="A159" s="111"/>
      <c r="B159" s="112" t="s">
        <v>117</v>
      </c>
      <c r="C159" s="113" t="s">
        <v>45</v>
      </c>
      <c r="D159" s="51"/>
      <c r="E159" s="29"/>
      <c r="F159" s="29"/>
      <c r="G159" s="29">
        <f>G352</f>
        <v>0</v>
      </c>
    </row>
    <row r="160" spans="1:9" s="24" customFormat="1" ht="13.15">
      <c r="A160" s="111"/>
      <c r="B160" s="112" t="s">
        <v>118</v>
      </c>
      <c r="C160" s="113" t="s">
        <v>8</v>
      </c>
      <c r="D160" s="51"/>
      <c r="E160" s="29"/>
      <c r="F160" s="29"/>
      <c r="G160" s="29">
        <f>G384</f>
        <v>0</v>
      </c>
    </row>
    <row r="161" spans="1:7" s="24" customFormat="1" ht="13.15">
      <c r="A161" s="111"/>
      <c r="B161" s="112" t="s">
        <v>119</v>
      </c>
      <c r="C161" s="113" t="s">
        <v>12</v>
      </c>
      <c r="D161" s="51"/>
      <c r="E161" s="29"/>
      <c r="F161" s="29"/>
      <c r="G161" s="29">
        <f>G607</f>
        <v>988.19999999999993</v>
      </c>
    </row>
    <row r="162" spans="1:7" s="24" customFormat="1" ht="13.15">
      <c r="A162" s="111"/>
      <c r="B162" s="112" t="s">
        <v>120</v>
      </c>
      <c r="C162" s="113" t="s">
        <v>21</v>
      </c>
      <c r="D162" s="51"/>
      <c r="E162" s="29"/>
      <c r="F162" s="29"/>
      <c r="G162" s="29">
        <f>G625</f>
        <v>0</v>
      </c>
    </row>
    <row r="163" spans="1:7" s="24" customFormat="1" ht="13.15">
      <c r="A163" s="111"/>
      <c r="B163" s="112" t="s">
        <v>1127</v>
      </c>
      <c r="C163" s="113" t="s">
        <v>15</v>
      </c>
      <c r="D163" s="51"/>
      <c r="E163" s="29"/>
      <c r="F163" s="29"/>
      <c r="G163" s="29">
        <f>G751</f>
        <v>0</v>
      </c>
    </row>
    <row r="164" spans="1:7" s="24" customFormat="1" ht="13.15">
      <c r="A164" s="111"/>
      <c r="B164" s="112" t="s">
        <v>121</v>
      </c>
      <c r="C164" s="113" t="s">
        <v>61</v>
      </c>
      <c r="D164" s="51"/>
      <c r="E164" s="29"/>
      <c r="F164" s="29"/>
      <c r="G164" s="29">
        <f>G886</f>
        <v>53430.612000000008</v>
      </c>
    </row>
    <row r="165" spans="1:7" s="24" customFormat="1" ht="13.15">
      <c r="A165" s="111"/>
      <c r="B165" s="112" t="s">
        <v>122</v>
      </c>
      <c r="C165" s="23" t="s">
        <v>62</v>
      </c>
      <c r="D165" s="51"/>
      <c r="E165" s="29"/>
      <c r="F165" s="29"/>
      <c r="G165" s="29">
        <f>G953</f>
        <v>0</v>
      </c>
    </row>
    <row r="166" spans="1:7" s="24" customFormat="1" ht="13.15">
      <c r="A166" s="111"/>
      <c r="B166" s="112" t="s">
        <v>123</v>
      </c>
      <c r="C166" s="113" t="s">
        <v>34</v>
      </c>
      <c r="D166" s="51"/>
      <c r="E166" s="29"/>
      <c r="F166" s="29"/>
      <c r="G166" s="29">
        <f>G1199</f>
        <v>37714.519999999997</v>
      </c>
    </row>
    <row r="167" spans="1:7" s="24" customFormat="1" ht="13.15">
      <c r="A167" s="111"/>
      <c r="B167" s="112" t="s">
        <v>124</v>
      </c>
      <c r="C167" s="23" t="s">
        <v>588</v>
      </c>
      <c r="D167" s="51"/>
      <c r="E167" s="29"/>
      <c r="F167" s="29"/>
      <c r="G167" s="29">
        <f>G1264</f>
        <v>0</v>
      </c>
    </row>
    <row r="168" spans="1:7" s="24" customFormat="1">
      <c r="A168" s="22"/>
      <c r="B168" s="112"/>
      <c r="C168" s="35"/>
      <c r="D168" s="36"/>
      <c r="E168" s="29"/>
      <c r="F168" s="29"/>
      <c r="G168" s="29"/>
    </row>
    <row r="169" spans="1:7" s="24" customFormat="1" ht="12.75" customHeight="1">
      <c r="A169" s="22"/>
      <c r="B169" s="112"/>
      <c r="C169" s="114" t="s">
        <v>59</v>
      </c>
      <c r="D169" s="115"/>
      <c r="E169" s="116"/>
      <c r="F169" s="116"/>
      <c r="G169" s="116">
        <f>SUM(G159:G167)</f>
        <v>92133.331999999995</v>
      </c>
    </row>
    <row r="170" spans="1:7" s="26" customFormat="1">
      <c r="A170" s="27"/>
      <c r="B170" s="105"/>
      <c r="D170" s="50"/>
      <c r="E170" s="30"/>
      <c r="F170" s="29"/>
      <c r="G170" s="29"/>
    </row>
    <row r="171" spans="1:7" s="24" customFormat="1" ht="13.15">
      <c r="A171" s="22"/>
      <c r="B171" s="106" t="s">
        <v>72</v>
      </c>
      <c r="C171" s="109" t="s">
        <v>60</v>
      </c>
      <c r="D171" s="51"/>
      <c r="E171" s="29"/>
      <c r="F171" s="29"/>
      <c r="G171" s="29"/>
    </row>
    <row r="172" spans="1:7" s="24" customFormat="1" ht="13.15">
      <c r="A172" s="111"/>
      <c r="B172" s="112"/>
      <c r="C172" s="109"/>
      <c r="D172" s="51"/>
      <c r="E172" s="29"/>
      <c r="F172" s="29"/>
      <c r="G172" s="29"/>
    </row>
    <row r="173" spans="1:7" s="24" customFormat="1" ht="13.15">
      <c r="A173" s="111"/>
      <c r="B173" s="112" t="s">
        <v>125</v>
      </c>
      <c r="C173" s="23" t="s">
        <v>67</v>
      </c>
      <c r="D173" s="51"/>
      <c r="E173" s="29"/>
      <c r="F173" s="29"/>
      <c r="G173" s="29">
        <f>G1319</f>
        <v>0</v>
      </c>
    </row>
    <row r="174" spans="1:7" s="24" customFormat="1" ht="13.15">
      <c r="A174" s="111"/>
      <c r="B174" s="112" t="s">
        <v>126</v>
      </c>
      <c r="C174" s="113" t="s">
        <v>64</v>
      </c>
      <c r="D174" s="51"/>
      <c r="E174" s="29"/>
      <c r="F174" s="29"/>
      <c r="G174" s="29">
        <f>G1431</f>
        <v>0</v>
      </c>
    </row>
    <row r="175" spans="1:7" s="24" customFormat="1" ht="13.15">
      <c r="A175" s="111"/>
      <c r="B175" s="112" t="s">
        <v>127</v>
      </c>
      <c r="C175" s="113" t="s">
        <v>1940</v>
      </c>
      <c r="D175" s="51"/>
      <c r="E175" s="29"/>
      <c r="F175" s="29"/>
      <c r="G175" s="29">
        <f>G1526</f>
        <v>0</v>
      </c>
    </row>
    <row r="176" spans="1:7" s="24" customFormat="1" ht="13.15">
      <c r="A176" s="111"/>
      <c r="B176" s="112" t="s">
        <v>128</v>
      </c>
      <c r="C176" s="113" t="s">
        <v>65</v>
      </c>
      <c r="D176" s="51"/>
      <c r="E176" s="29"/>
      <c r="F176" s="29"/>
      <c r="G176" s="29">
        <f>G1622</f>
        <v>0</v>
      </c>
    </row>
    <row r="177" spans="1:7" s="24" customFormat="1" ht="13.15">
      <c r="A177" s="111"/>
      <c r="B177" s="112" t="s">
        <v>129</v>
      </c>
      <c r="C177" s="113" t="s">
        <v>57</v>
      </c>
      <c r="D177" s="51"/>
      <c r="E177" s="29"/>
      <c r="F177" s="29"/>
      <c r="G177" s="29">
        <f>G1670</f>
        <v>0</v>
      </c>
    </row>
    <row r="178" spans="1:7" s="24" customFormat="1" ht="13.15">
      <c r="A178" s="111"/>
      <c r="B178" s="112" t="s">
        <v>130</v>
      </c>
      <c r="C178" s="113" t="s">
        <v>54</v>
      </c>
      <c r="D178" s="51"/>
      <c r="E178" s="29"/>
      <c r="F178" s="29"/>
      <c r="G178" s="29">
        <f>G1701</f>
        <v>0</v>
      </c>
    </row>
    <row r="179" spans="1:7" s="24" customFormat="1" ht="13.15">
      <c r="A179" s="111"/>
      <c r="B179" s="112" t="s">
        <v>131</v>
      </c>
      <c r="C179" s="113" t="s">
        <v>66</v>
      </c>
      <c r="D179" s="51"/>
      <c r="E179" s="29"/>
      <c r="F179" s="29"/>
      <c r="G179" s="29">
        <f>G1744</f>
        <v>0</v>
      </c>
    </row>
    <row r="180" spans="1:7" s="26" customFormat="1" ht="13.15">
      <c r="A180" s="117"/>
      <c r="B180" s="105"/>
      <c r="C180" s="118"/>
      <c r="D180" s="54"/>
      <c r="E180" s="30"/>
      <c r="F180" s="29"/>
      <c r="G180" s="29"/>
    </row>
    <row r="181" spans="1:7" s="24" customFormat="1">
      <c r="A181" s="22"/>
      <c r="B181" s="112"/>
      <c r="C181" s="119" t="s">
        <v>63</v>
      </c>
      <c r="D181" s="115"/>
      <c r="E181" s="116"/>
      <c r="F181" s="116"/>
      <c r="G181" s="116">
        <f>SUM(G173:G179)</f>
        <v>0</v>
      </c>
    </row>
    <row r="182" spans="1:7" s="24" customFormat="1">
      <c r="A182" s="22"/>
      <c r="B182" s="112"/>
      <c r="C182" s="23"/>
      <c r="E182" s="29"/>
      <c r="F182" s="29"/>
      <c r="G182" s="29"/>
    </row>
    <row r="183" spans="1:7" s="24" customFormat="1" ht="13.15">
      <c r="A183" s="22"/>
      <c r="B183" s="106" t="s">
        <v>142</v>
      </c>
      <c r="C183" s="109" t="s">
        <v>818</v>
      </c>
      <c r="D183" s="51"/>
      <c r="E183" s="29"/>
      <c r="F183" s="29"/>
      <c r="G183" s="29"/>
    </row>
    <row r="184" spans="1:7" s="24" customFormat="1" ht="13.15">
      <c r="A184" s="111"/>
      <c r="B184" s="112"/>
      <c r="C184" s="109"/>
      <c r="D184" s="51"/>
      <c r="E184" s="29"/>
      <c r="F184" s="29"/>
      <c r="G184" s="29"/>
    </row>
    <row r="185" spans="1:7" s="24" customFormat="1" ht="13.15">
      <c r="A185" s="111"/>
      <c r="B185" s="112" t="s">
        <v>1096</v>
      </c>
      <c r="C185" s="23" t="s">
        <v>45</v>
      </c>
      <c r="D185" s="51"/>
      <c r="E185" s="29"/>
      <c r="F185" s="29"/>
      <c r="G185" s="29">
        <f>G1758</f>
        <v>0</v>
      </c>
    </row>
    <row r="186" spans="1:7" s="24" customFormat="1" ht="13.15">
      <c r="A186" s="111"/>
      <c r="B186" s="112" t="s">
        <v>1123</v>
      </c>
      <c r="C186" s="113" t="s">
        <v>8</v>
      </c>
      <c r="D186" s="51"/>
      <c r="E186" s="29"/>
      <c r="F186" s="29"/>
      <c r="G186" s="29">
        <f>G1782</f>
        <v>0</v>
      </c>
    </row>
    <row r="187" spans="1:7" s="24" customFormat="1" ht="13.15">
      <c r="A187" s="111"/>
      <c r="B187" s="112" t="s">
        <v>1124</v>
      </c>
      <c r="C187" s="113" t="s">
        <v>823</v>
      </c>
      <c r="D187" s="51"/>
      <c r="E187" s="29"/>
      <c r="F187" s="29"/>
      <c r="G187" s="29">
        <f>G1792</f>
        <v>0</v>
      </c>
    </row>
    <row r="188" spans="1:7" s="24" customFormat="1" ht="25.5">
      <c r="A188" s="111"/>
      <c r="B188" s="112" t="s">
        <v>1125</v>
      </c>
      <c r="C188" s="113" t="s">
        <v>1114</v>
      </c>
      <c r="D188" s="51"/>
      <c r="E188" s="29"/>
      <c r="F188" s="29"/>
      <c r="G188" s="29">
        <f>G1803</f>
        <v>0</v>
      </c>
    </row>
    <row r="189" spans="1:7" s="24" customFormat="1" ht="13.15">
      <c r="A189" s="111"/>
      <c r="B189" s="112" t="s">
        <v>1126</v>
      </c>
      <c r="C189" s="113" t="s">
        <v>1121</v>
      </c>
      <c r="D189" s="51"/>
      <c r="E189" s="29"/>
      <c r="F189" s="29"/>
      <c r="G189" s="29">
        <f>G1816</f>
        <v>0</v>
      </c>
    </row>
    <row r="190" spans="1:7" s="24" customFormat="1" ht="13.15">
      <c r="A190" s="111"/>
      <c r="B190" s="112" t="s">
        <v>1156</v>
      </c>
      <c r="C190" s="113" t="s">
        <v>1160</v>
      </c>
      <c r="D190" s="51"/>
      <c r="E190" s="29"/>
      <c r="F190" s="29"/>
      <c r="G190" s="29">
        <f>G1822</f>
        <v>0</v>
      </c>
    </row>
    <row r="191" spans="1:7" s="26" customFormat="1" ht="13.15">
      <c r="A191" s="117"/>
      <c r="B191" s="105"/>
      <c r="C191" s="118"/>
      <c r="D191" s="54"/>
      <c r="E191" s="30"/>
      <c r="F191" s="29"/>
      <c r="G191" s="29"/>
    </row>
    <row r="192" spans="1:7" s="24" customFormat="1">
      <c r="A192" s="22"/>
      <c r="B192" s="112"/>
      <c r="C192" s="119" t="s">
        <v>1079</v>
      </c>
      <c r="D192" s="115"/>
      <c r="E192" s="116"/>
      <c r="F192" s="116"/>
      <c r="G192" s="116">
        <f>SUM(G185:G190)</f>
        <v>0</v>
      </c>
    </row>
    <row r="193" spans="1:17" s="24" customFormat="1">
      <c r="A193" s="22"/>
      <c r="B193" s="112"/>
      <c r="E193" s="29"/>
      <c r="F193" s="29"/>
      <c r="G193" s="29"/>
    </row>
    <row r="194" spans="1:17" s="24" customFormat="1">
      <c r="A194" s="22"/>
      <c r="B194" s="112" t="s">
        <v>1078</v>
      </c>
      <c r="C194" s="77" t="s">
        <v>68</v>
      </c>
      <c r="D194" s="77"/>
      <c r="E194" s="120"/>
      <c r="F194" s="120"/>
      <c r="G194" s="120">
        <f>G169+G181+G192</f>
        <v>92133.331999999995</v>
      </c>
    </row>
    <row r="195" spans="1:17" s="26" customFormat="1">
      <c r="A195" s="27"/>
      <c r="B195" s="105"/>
      <c r="E195" s="30"/>
      <c r="F195" s="29"/>
      <c r="G195" s="29"/>
    </row>
    <row r="196" spans="1:17" s="26" customFormat="1">
      <c r="A196" s="27"/>
      <c r="B196" s="105"/>
      <c r="E196" s="30"/>
      <c r="F196" s="29"/>
      <c r="G196" s="29"/>
    </row>
    <row r="197" spans="1:17" s="26" customFormat="1" ht="13.15">
      <c r="A197" s="27"/>
      <c r="B197" s="107"/>
      <c r="C197" s="118"/>
      <c r="E197" s="31"/>
      <c r="F197" s="24"/>
      <c r="G197" s="24"/>
    </row>
    <row r="198" spans="1:17" s="26" customFormat="1">
      <c r="A198" s="27"/>
      <c r="B198" s="105"/>
      <c r="D198" s="50"/>
      <c r="E198" s="31"/>
      <c r="F198" s="24"/>
      <c r="G198" s="24"/>
    </row>
    <row r="199" spans="1:17" s="26" customFormat="1">
      <c r="A199" s="27"/>
      <c r="B199" s="105"/>
      <c r="E199" s="31"/>
      <c r="F199" s="24"/>
      <c r="G199" s="24"/>
    </row>
    <row r="200" spans="1:17" s="26" customFormat="1">
      <c r="A200" s="27"/>
      <c r="B200" s="105"/>
      <c r="E200" s="31"/>
      <c r="F200" s="24"/>
      <c r="G200" s="24"/>
    </row>
    <row r="201" spans="1:17" s="26" customFormat="1" ht="21.75" customHeight="1">
      <c r="A201" s="27"/>
      <c r="B201" s="105"/>
      <c r="E201" s="31"/>
      <c r="F201" s="24"/>
      <c r="G201" s="24"/>
    </row>
    <row r="202" spans="1:17" s="21" customFormat="1" ht="30.75" customHeight="1">
      <c r="A202" s="121"/>
      <c r="B202" s="122"/>
      <c r="C202" s="941" t="s">
        <v>840</v>
      </c>
      <c r="D202" s="941"/>
      <c r="E202" s="941"/>
      <c r="F202" s="941"/>
      <c r="G202" s="941"/>
    </row>
    <row r="203" spans="1:17" s="21" customFormat="1">
      <c r="A203" s="121"/>
      <c r="B203" s="122"/>
      <c r="C203" s="123"/>
      <c r="D203" s="123"/>
      <c r="E203" s="124"/>
      <c r="F203" s="125"/>
      <c r="G203" s="125"/>
    </row>
    <row r="204" spans="1:17" s="21" customFormat="1">
      <c r="A204" s="121"/>
      <c r="B204" s="122"/>
      <c r="C204" s="123"/>
      <c r="D204" s="123"/>
      <c r="E204" s="124"/>
      <c r="F204" s="125"/>
      <c r="G204" s="125"/>
      <c r="J204" s="951"/>
      <c r="K204" s="951"/>
      <c r="L204" s="951"/>
      <c r="M204" s="951"/>
      <c r="N204" s="951"/>
    </row>
    <row r="205" spans="1:17" s="129" customFormat="1" ht="13.15">
      <c r="A205" s="126"/>
      <c r="B205" s="127"/>
      <c r="C205" s="911" t="s">
        <v>150</v>
      </c>
      <c r="D205" s="911"/>
      <c r="E205" s="911"/>
      <c r="F205" s="911"/>
      <c r="G205" s="911"/>
    </row>
    <row r="206" spans="1:17" s="132" customFormat="1" ht="39.75" customHeight="1">
      <c r="A206" s="130"/>
      <c r="B206" s="131"/>
      <c r="C206" s="922" t="s">
        <v>1927</v>
      </c>
      <c r="D206" s="922"/>
      <c r="E206" s="922"/>
      <c r="F206" s="922"/>
      <c r="G206" s="922"/>
    </row>
    <row r="207" spans="1:17" s="21" customFormat="1" ht="60.75" customHeight="1">
      <c r="A207" s="121"/>
      <c r="B207" s="122"/>
      <c r="C207" s="922" t="s">
        <v>1928</v>
      </c>
      <c r="D207" s="921"/>
      <c r="E207" s="921"/>
      <c r="F207" s="921"/>
      <c r="G207" s="921"/>
    </row>
    <row r="208" spans="1:17" s="21" customFormat="1" ht="85.5" customHeight="1">
      <c r="A208" s="121"/>
      <c r="B208" s="122"/>
      <c r="C208" s="922" t="s">
        <v>1929</v>
      </c>
      <c r="D208" s="921"/>
      <c r="E208" s="921"/>
      <c r="F208" s="921"/>
      <c r="G208" s="921"/>
      <c r="J208" s="134"/>
      <c r="K208" s="135"/>
      <c r="L208" s="135"/>
      <c r="M208" s="135"/>
      <c r="N208" s="135"/>
      <c r="O208" s="135"/>
      <c r="P208" s="135"/>
      <c r="Q208" s="135"/>
    </row>
    <row r="209" spans="1:17" s="21" customFormat="1">
      <c r="A209" s="121"/>
      <c r="B209" s="122"/>
      <c r="C209" s="921"/>
      <c r="D209" s="921"/>
      <c r="E209" s="921"/>
      <c r="F209" s="921"/>
      <c r="G209" s="921"/>
      <c r="J209" s="135"/>
      <c r="K209" s="135"/>
      <c r="L209" s="135"/>
      <c r="M209" s="135"/>
      <c r="N209" s="135"/>
      <c r="O209" s="135"/>
      <c r="P209" s="135"/>
      <c r="Q209" s="135"/>
    </row>
    <row r="210" spans="1:17" s="129" customFormat="1" ht="45.75" customHeight="1">
      <c r="A210" s="126"/>
      <c r="B210" s="127"/>
      <c r="C210" s="922" t="s">
        <v>1926</v>
      </c>
      <c r="D210" s="922"/>
      <c r="E210" s="922"/>
      <c r="F210" s="922"/>
      <c r="G210" s="922"/>
      <c r="J210" s="136"/>
      <c r="K210" s="136"/>
      <c r="L210" s="136"/>
      <c r="M210" s="136"/>
      <c r="N210" s="136"/>
      <c r="O210" s="136"/>
      <c r="P210" s="136"/>
      <c r="Q210" s="136"/>
    </row>
    <row r="211" spans="1:17" s="129" customFormat="1" ht="69" customHeight="1">
      <c r="A211" s="126"/>
      <c r="B211" s="127"/>
      <c r="C211" s="922" t="s">
        <v>151</v>
      </c>
      <c r="D211" s="922"/>
      <c r="E211" s="922"/>
      <c r="F211" s="922"/>
      <c r="G211" s="922"/>
    </row>
    <row r="212" spans="1:17" s="21" customFormat="1">
      <c r="A212" s="121"/>
      <c r="B212" s="122"/>
      <c r="C212" s="921"/>
      <c r="D212" s="921"/>
      <c r="E212" s="921"/>
      <c r="F212" s="921"/>
      <c r="G212" s="921"/>
    </row>
    <row r="213" spans="1:17" s="21" customFormat="1" ht="160.5" customHeight="1">
      <c r="A213" s="121"/>
      <c r="B213" s="122"/>
      <c r="C213" s="914" t="s">
        <v>1925</v>
      </c>
      <c r="D213" s="914"/>
      <c r="E213" s="914"/>
      <c r="F213" s="914"/>
      <c r="G213" s="914"/>
    </row>
    <row r="214" spans="1:17" s="140" customFormat="1" ht="12.75" customHeight="1">
      <c r="A214" s="138"/>
      <c r="B214" s="139"/>
      <c r="C214" s="914" t="s">
        <v>152</v>
      </c>
      <c r="D214" s="914"/>
      <c r="E214" s="914"/>
      <c r="F214" s="914"/>
      <c r="G214" s="914"/>
    </row>
    <row r="215" spans="1:17" s="140" customFormat="1">
      <c r="A215" s="138"/>
      <c r="B215" s="139"/>
      <c r="C215" s="914" t="s">
        <v>153</v>
      </c>
      <c r="D215" s="914"/>
      <c r="E215" s="914"/>
      <c r="F215" s="914"/>
      <c r="G215" s="914"/>
    </row>
    <row r="216" spans="1:17" s="140" customFormat="1" ht="27.75" customHeight="1">
      <c r="A216" s="138"/>
      <c r="B216" s="139"/>
      <c r="C216" s="914" t="s">
        <v>154</v>
      </c>
      <c r="D216" s="914"/>
      <c r="E216" s="914"/>
      <c r="F216" s="914"/>
      <c r="G216" s="914"/>
    </row>
    <row r="217" spans="1:17" s="140" customFormat="1" ht="16.5" customHeight="1">
      <c r="A217" s="138"/>
      <c r="B217" s="139"/>
      <c r="C217" s="914" t="s">
        <v>155</v>
      </c>
      <c r="D217" s="914"/>
      <c r="E217" s="914"/>
      <c r="F217" s="914"/>
      <c r="G217" s="914"/>
    </row>
    <row r="218" spans="1:17" s="140" customFormat="1" ht="38.25" customHeight="1">
      <c r="A218" s="138"/>
      <c r="B218" s="139"/>
      <c r="C218" s="914" t="s">
        <v>156</v>
      </c>
      <c r="D218" s="914"/>
      <c r="E218" s="914"/>
      <c r="F218" s="914"/>
      <c r="G218" s="914"/>
    </row>
    <row r="219" spans="1:17" s="140" customFormat="1" ht="9.9499999999999993" customHeight="1">
      <c r="A219" s="138"/>
      <c r="B219" s="139"/>
      <c r="C219" s="914"/>
      <c r="D219" s="914"/>
      <c r="E219" s="914"/>
      <c r="F219" s="914"/>
      <c r="G219" s="914"/>
    </row>
    <row r="220" spans="1:17" s="140" customFormat="1" ht="51" customHeight="1">
      <c r="A220" s="138"/>
      <c r="B220" s="139"/>
      <c r="C220" s="914" t="s">
        <v>157</v>
      </c>
      <c r="D220" s="914"/>
      <c r="E220" s="914"/>
      <c r="F220" s="914"/>
      <c r="G220" s="914"/>
    </row>
    <row r="221" spans="1:17" s="21" customFormat="1" ht="9.9499999999999993" customHeight="1">
      <c r="A221" s="121"/>
      <c r="B221" s="122"/>
      <c r="C221" s="921"/>
      <c r="D221" s="921"/>
      <c r="E221" s="921"/>
      <c r="F221" s="921"/>
      <c r="G221" s="921"/>
    </row>
    <row r="222" spans="1:17" s="21" customFormat="1" ht="51.75" customHeight="1">
      <c r="A222" s="121"/>
      <c r="B222" s="122"/>
      <c r="C222" s="914" t="s">
        <v>846</v>
      </c>
      <c r="D222" s="914"/>
      <c r="E222" s="914"/>
      <c r="F222" s="914"/>
      <c r="G222" s="914"/>
    </row>
    <row r="223" spans="1:17" s="140" customFormat="1" ht="15" customHeight="1">
      <c r="A223" s="138"/>
      <c r="B223" s="139"/>
      <c r="C223" s="914" t="s">
        <v>158</v>
      </c>
      <c r="D223" s="914"/>
      <c r="E223" s="914"/>
      <c r="F223" s="914"/>
      <c r="G223" s="914"/>
    </row>
    <row r="224" spans="1:17" s="140" customFormat="1" ht="15" customHeight="1">
      <c r="A224" s="138"/>
      <c r="B224" s="139"/>
      <c r="C224" s="914" t="s">
        <v>159</v>
      </c>
      <c r="D224" s="914"/>
      <c r="E224" s="914"/>
      <c r="F224" s="914"/>
      <c r="G224" s="914"/>
    </row>
    <row r="225" spans="1:14" s="140" customFormat="1" ht="24.75" customHeight="1">
      <c r="A225" s="138"/>
      <c r="B225" s="139"/>
      <c r="C225" s="914" t="s">
        <v>160</v>
      </c>
      <c r="D225" s="914"/>
      <c r="E225" s="914"/>
      <c r="F225" s="914"/>
      <c r="G225" s="914"/>
    </row>
    <row r="226" spans="1:14" s="140" customFormat="1" ht="15" customHeight="1">
      <c r="A226" s="138"/>
      <c r="B226" s="139"/>
      <c r="C226" s="914" t="s">
        <v>161</v>
      </c>
      <c r="D226" s="914"/>
      <c r="E226" s="914"/>
      <c r="F226" s="914"/>
      <c r="G226" s="914"/>
    </row>
    <row r="227" spans="1:14" s="21" customFormat="1" ht="13.5" customHeight="1">
      <c r="A227" s="121"/>
      <c r="B227" s="122"/>
      <c r="C227" s="914" t="s">
        <v>847</v>
      </c>
      <c r="D227" s="914"/>
      <c r="E227" s="914"/>
      <c r="F227" s="914"/>
      <c r="G227" s="914"/>
    </row>
    <row r="228" spans="1:14" s="21" customFormat="1" ht="26.25" customHeight="1">
      <c r="A228" s="121"/>
      <c r="B228" s="122"/>
      <c r="C228" s="921"/>
      <c r="D228" s="921"/>
      <c r="E228" s="921"/>
      <c r="F228" s="921"/>
      <c r="G228" s="921"/>
    </row>
    <row r="229" spans="1:14" s="21" customFormat="1" ht="135.75" customHeight="1">
      <c r="A229" s="121"/>
      <c r="B229" s="122"/>
      <c r="C229" s="914" t="s">
        <v>827</v>
      </c>
      <c r="D229" s="914"/>
      <c r="E229" s="914"/>
      <c r="F229" s="914"/>
      <c r="G229" s="914"/>
    </row>
    <row r="230" spans="1:14" s="21" customFormat="1" ht="12.75" customHeight="1">
      <c r="A230" s="121"/>
      <c r="B230" s="122"/>
      <c r="C230" s="921"/>
      <c r="D230" s="921"/>
      <c r="E230" s="921"/>
      <c r="F230" s="921"/>
      <c r="G230" s="921"/>
    </row>
    <row r="231" spans="1:14" s="143" customFormat="1" ht="105.75" customHeight="1">
      <c r="A231" s="141"/>
      <c r="B231" s="142"/>
      <c r="C231" s="914" t="s">
        <v>162</v>
      </c>
      <c r="D231" s="914"/>
      <c r="E231" s="914"/>
      <c r="F231" s="914"/>
      <c r="G231" s="914"/>
    </row>
    <row r="232" spans="1:14" s="21" customFormat="1" ht="53.25" customHeight="1">
      <c r="A232" s="121"/>
      <c r="B232" s="122"/>
      <c r="C232" s="914" t="s">
        <v>163</v>
      </c>
      <c r="D232" s="914"/>
      <c r="E232" s="914"/>
      <c r="F232" s="914"/>
      <c r="G232" s="914"/>
    </row>
    <row r="233" spans="1:14" s="21" customFormat="1">
      <c r="A233" s="121"/>
      <c r="B233" s="122"/>
      <c r="C233" s="921"/>
      <c r="D233" s="921"/>
      <c r="E233" s="921"/>
      <c r="F233" s="921"/>
      <c r="G233" s="921"/>
    </row>
    <row r="234" spans="1:14" s="132" customFormat="1" ht="118.5" customHeight="1">
      <c r="A234" s="130"/>
      <c r="B234" s="131"/>
      <c r="C234" s="922" t="s">
        <v>164</v>
      </c>
      <c r="D234" s="922"/>
      <c r="E234" s="922"/>
      <c r="F234" s="922"/>
      <c r="G234" s="922"/>
      <c r="K234" s="136"/>
      <c r="L234" s="136"/>
      <c r="M234" s="136"/>
      <c r="N234" s="136"/>
    </row>
    <row r="235" spans="1:14" s="21" customFormat="1">
      <c r="A235" s="121"/>
      <c r="B235" s="122"/>
      <c r="C235" s="921"/>
      <c r="D235" s="921"/>
      <c r="E235" s="921"/>
      <c r="F235" s="921"/>
      <c r="G235" s="921"/>
    </row>
    <row r="236" spans="1:14" s="21" customFormat="1" ht="105" customHeight="1">
      <c r="A236" s="121"/>
      <c r="B236" s="122"/>
      <c r="C236" s="914" t="s">
        <v>1060</v>
      </c>
      <c r="D236" s="914"/>
      <c r="E236" s="914"/>
      <c r="F236" s="914"/>
      <c r="G236" s="914"/>
      <c r="K236" s="144"/>
    </row>
    <row r="237" spans="1:14" s="21" customFormat="1">
      <c r="A237" s="121"/>
      <c r="B237" s="122"/>
      <c r="C237" s="921"/>
      <c r="D237" s="921"/>
      <c r="E237" s="921"/>
      <c r="F237" s="921"/>
      <c r="G237" s="921"/>
    </row>
    <row r="238" spans="1:14" s="21" customFormat="1" ht="40.5" customHeight="1">
      <c r="A238" s="121"/>
      <c r="B238" s="122"/>
      <c r="C238" s="914" t="s">
        <v>165</v>
      </c>
      <c r="D238" s="914"/>
      <c r="E238" s="914"/>
      <c r="F238" s="914"/>
      <c r="G238" s="914"/>
    </row>
    <row r="239" spans="1:14" s="21" customFormat="1">
      <c r="A239" s="121"/>
      <c r="B239" s="122"/>
      <c r="C239" s="921"/>
      <c r="D239" s="921"/>
      <c r="E239" s="921"/>
      <c r="F239" s="921"/>
      <c r="G239" s="921"/>
    </row>
    <row r="240" spans="1:14" s="21" customFormat="1" ht="91.5" customHeight="1">
      <c r="A240" s="121"/>
      <c r="B240" s="122"/>
      <c r="C240" s="914" t="s">
        <v>1061</v>
      </c>
      <c r="D240" s="914"/>
      <c r="E240" s="914"/>
      <c r="F240" s="914"/>
      <c r="G240" s="914"/>
    </row>
    <row r="241" spans="1:7" s="21" customFormat="1">
      <c r="A241" s="121"/>
      <c r="B241" s="122"/>
      <c r="C241" s="921"/>
      <c r="D241" s="921"/>
      <c r="E241" s="921"/>
      <c r="F241" s="921"/>
      <c r="G241" s="921"/>
    </row>
    <row r="242" spans="1:7" s="21" customFormat="1" ht="121.5" customHeight="1">
      <c r="A242" s="121"/>
      <c r="B242" s="122"/>
      <c r="C242" s="914" t="s">
        <v>166</v>
      </c>
      <c r="D242" s="914"/>
      <c r="E242" s="914"/>
      <c r="F242" s="914"/>
      <c r="G242" s="914"/>
    </row>
    <row r="243" spans="1:7" s="21" customFormat="1">
      <c r="A243" s="121"/>
      <c r="B243" s="122"/>
      <c r="C243" s="921"/>
      <c r="D243" s="921"/>
      <c r="E243" s="921"/>
      <c r="F243" s="921"/>
      <c r="G243" s="921"/>
    </row>
    <row r="244" spans="1:7" s="21" customFormat="1" ht="138" customHeight="1">
      <c r="A244" s="121"/>
      <c r="B244" s="122"/>
      <c r="C244" s="914" t="s">
        <v>167</v>
      </c>
      <c r="D244" s="914"/>
      <c r="E244" s="914"/>
      <c r="F244" s="914"/>
      <c r="G244" s="914"/>
    </row>
    <row r="245" spans="1:7" s="21" customFormat="1" ht="40.5" customHeight="1">
      <c r="A245" s="121"/>
      <c r="B245" s="122"/>
      <c r="C245" s="914" t="s">
        <v>168</v>
      </c>
      <c r="D245" s="914"/>
      <c r="E245" s="914"/>
      <c r="F245" s="914"/>
      <c r="G245" s="914"/>
    </row>
    <row r="246" spans="1:7" s="21" customFormat="1" ht="27" customHeight="1">
      <c r="A246" s="121"/>
      <c r="B246" s="122"/>
      <c r="C246" s="914" t="s">
        <v>169</v>
      </c>
      <c r="D246" s="914"/>
      <c r="E246" s="914"/>
      <c r="F246" s="914"/>
      <c r="G246" s="914"/>
    </row>
    <row r="247" spans="1:7" s="21" customFormat="1" ht="9.9499999999999993" customHeight="1">
      <c r="A247" s="121"/>
      <c r="B247" s="122"/>
      <c r="C247" s="921"/>
      <c r="D247" s="921"/>
      <c r="E247" s="921"/>
      <c r="F247" s="921"/>
      <c r="G247" s="921"/>
    </row>
    <row r="248" spans="1:7" s="21" customFormat="1" ht="66.75" customHeight="1">
      <c r="A248" s="121"/>
      <c r="B248" s="122"/>
      <c r="C248" s="914" t="s">
        <v>170</v>
      </c>
      <c r="D248" s="914"/>
      <c r="E248" s="914"/>
      <c r="F248" s="914"/>
      <c r="G248" s="914"/>
    </row>
    <row r="249" spans="1:7" s="21" customFormat="1" ht="117" customHeight="1">
      <c r="A249" s="121"/>
      <c r="B249" s="122"/>
      <c r="C249" s="914" t="s">
        <v>171</v>
      </c>
      <c r="D249" s="914"/>
      <c r="E249" s="914"/>
      <c r="F249" s="914"/>
      <c r="G249" s="914"/>
    </row>
    <row r="250" spans="1:7" s="21" customFormat="1">
      <c r="A250" s="121"/>
      <c r="B250" s="122"/>
      <c r="C250" s="921"/>
      <c r="D250" s="921"/>
      <c r="E250" s="921"/>
      <c r="F250" s="921"/>
      <c r="G250" s="921"/>
    </row>
    <row r="251" spans="1:7" s="21" customFormat="1" ht="78" customHeight="1">
      <c r="A251" s="121"/>
      <c r="B251" s="122"/>
      <c r="C251" s="914" t="s">
        <v>172</v>
      </c>
      <c r="D251" s="914"/>
      <c r="E251" s="914"/>
      <c r="F251" s="914"/>
      <c r="G251" s="914"/>
    </row>
    <row r="252" spans="1:7" s="21" customFormat="1">
      <c r="A252" s="121"/>
      <c r="B252" s="122"/>
      <c r="C252" s="921"/>
      <c r="D252" s="921"/>
      <c r="E252" s="921"/>
      <c r="F252" s="921"/>
      <c r="G252" s="921"/>
    </row>
    <row r="253" spans="1:7" s="21" customFormat="1" ht="144" customHeight="1">
      <c r="A253" s="121"/>
      <c r="B253" s="122"/>
      <c r="C253" s="914" t="s">
        <v>843</v>
      </c>
      <c r="D253" s="914"/>
      <c r="E253" s="914"/>
      <c r="F253" s="914"/>
      <c r="G253" s="914"/>
    </row>
    <row r="254" spans="1:7" s="21" customFormat="1">
      <c r="A254" s="121"/>
      <c r="B254" s="122"/>
      <c r="C254" s="921"/>
      <c r="D254" s="921"/>
      <c r="E254" s="921"/>
      <c r="F254" s="921"/>
      <c r="G254" s="921"/>
    </row>
    <row r="255" spans="1:7" s="21" customFormat="1" ht="137.25" customHeight="1">
      <c r="A255" s="121"/>
      <c r="B255" s="122"/>
      <c r="C255" s="914" t="s">
        <v>842</v>
      </c>
      <c r="D255" s="914"/>
      <c r="E255" s="914"/>
      <c r="F255" s="914"/>
      <c r="G255" s="914"/>
    </row>
    <row r="256" spans="1:7" s="21" customFormat="1">
      <c r="A256" s="121"/>
      <c r="B256" s="122"/>
      <c r="C256" s="921"/>
      <c r="D256" s="921"/>
      <c r="E256" s="921"/>
      <c r="F256" s="921"/>
      <c r="G256" s="921"/>
    </row>
    <row r="257" spans="1:7" s="21" customFormat="1" ht="133.5" customHeight="1">
      <c r="A257" s="121"/>
      <c r="B257" s="122"/>
      <c r="C257" s="914" t="s">
        <v>841</v>
      </c>
      <c r="D257" s="914"/>
      <c r="E257" s="914"/>
      <c r="F257" s="914"/>
      <c r="G257" s="914"/>
    </row>
    <row r="258" spans="1:7" s="21" customFormat="1">
      <c r="A258" s="121"/>
      <c r="B258" s="122"/>
      <c r="C258" s="921"/>
      <c r="D258" s="921"/>
      <c r="E258" s="921"/>
      <c r="F258" s="921"/>
      <c r="G258" s="921"/>
    </row>
    <row r="259" spans="1:7" s="21" customFormat="1" ht="131.25" customHeight="1">
      <c r="A259" s="121"/>
      <c r="B259" s="122"/>
      <c r="C259" s="914" t="s">
        <v>173</v>
      </c>
      <c r="D259" s="914"/>
      <c r="E259" s="914"/>
      <c r="F259" s="914"/>
      <c r="G259" s="914"/>
    </row>
    <row r="260" spans="1:7" s="21" customFormat="1" ht="159.75" customHeight="1">
      <c r="A260" s="121"/>
      <c r="B260" s="122"/>
      <c r="C260" s="914" t="s">
        <v>1924</v>
      </c>
      <c r="D260" s="914"/>
      <c r="E260" s="914"/>
      <c r="F260" s="914"/>
      <c r="G260" s="914"/>
    </row>
    <row r="261" spans="1:7" s="129" customFormat="1" ht="147" customHeight="1">
      <c r="A261" s="126"/>
      <c r="B261" s="127"/>
      <c r="C261" s="922" t="s">
        <v>174</v>
      </c>
      <c r="D261" s="922"/>
      <c r="E261" s="922"/>
      <c r="F261" s="922"/>
      <c r="G261" s="922"/>
    </row>
    <row r="262" spans="1:7" s="129" customFormat="1">
      <c r="A262" s="126"/>
      <c r="B262" s="127"/>
      <c r="C262" s="922"/>
      <c r="D262" s="922"/>
      <c r="E262" s="922"/>
      <c r="F262" s="922"/>
      <c r="G262" s="922"/>
    </row>
    <row r="263" spans="1:7" s="129" customFormat="1">
      <c r="A263" s="126"/>
      <c r="B263" s="127"/>
      <c r="C263" s="948" t="s">
        <v>175</v>
      </c>
      <c r="D263" s="922"/>
      <c r="E263" s="922"/>
      <c r="F263" s="922"/>
      <c r="G263" s="922"/>
    </row>
    <row r="264" spans="1:7" s="129" customFormat="1" ht="27.75" customHeight="1">
      <c r="A264" s="126"/>
      <c r="B264" s="127"/>
      <c r="C264" s="922" t="s">
        <v>176</v>
      </c>
      <c r="D264" s="922"/>
      <c r="E264" s="922"/>
      <c r="F264" s="922"/>
      <c r="G264" s="922"/>
    </row>
    <row r="265" spans="1:7" s="129" customFormat="1">
      <c r="A265" s="126"/>
      <c r="B265" s="127"/>
      <c r="C265" s="922"/>
      <c r="D265" s="922"/>
      <c r="E265" s="922"/>
      <c r="F265" s="922"/>
      <c r="G265" s="922"/>
    </row>
    <row r="266" spans="1:7" s="129" customFormat="1" ht="144" customHeight="1">
      <c r="A266" s="126"/>
      <c r="B266" s="127"/>
      <c r="C266" s="922" t="s">
        <v>177</v>
      </c>
      <c r="D266" s="922"/>
      <c r="E266" s="922"/>
      <c r="F266" s="922"/>
      <c r="G266" s="922"/>
    </row>
    <row r="267" spans="1:7" s="129" customFormat="1" ht="40.5" customHeight="1">
      <c r="A267" s="126"/>
      <c r="B267" s="127"/>
      <c r="C267" s="922" t="s">
        <v>178</v>
      </c>
      <c r="D267" s="922"/>
      <c r="E267" s="922"/>
      <c r="F267" s="922"/>
      <c r="G267" s="922"/>
    </row>
    <row r="268" spans="1:7" s="129" customFormat="1">
      <c r="A268" s="126"/>
      <c r="B268" s="127"/>
      <c r="C268" s="922"/>
      <c r="D268" s="922"/>
      <c r="E268" s="922"/>
      <c r="F268" s="922"/>
      <c r="G268" s="922"/>
    </row>
    <row r="269" spans="1:7" s="129" customFormat="1" ht="39.75" customHeight="1">
      <c r="A269" s="126"/>
      <c r="B269" s="127"/>
      <c r="C269" s="922" t="s">
        <v>179</v>
      </c>
      <c r="D269" s="922"/>
      <c r="E269" s="922"/>
      <c r="F269" s="922"/>
      <c r="G269" s="922"/>
    </row>
    <row r="270" spans="1:7" s="129" customFormat="1" ht="39" customHeight="1">
      <c r="A270" s="126"/>
      <c r="B270" s="127"/>
      <c r="C270" s="922" t="s">
        <v>180</v>
      </c>
      <c r="D270" s="922"/>
      <c r="E270" s="922"/>
      <c r="F270" s="922"/>
      <c r="G270" s="922"/>
    </row>
    <row r="271" spans="1:7" s="129" customFormat="1" ht="40.5" customHeight="1">
      <c r="A271" s="126"/>
      <c r="B271" s="127"/>
      <c r="C271" s="922" t="s">
        <v>181</v>
      </c>
      <c r="D271" s="922"/>
      <c r="E271" s="922"/>
      <c r="F271" s="922"/>
      <c r="G271" s="922"/>
    </row>
    <row r="272" spans="1:7" s="129" customFormat="1" ht="27.75" customHeight="1">
      <c r="A272" s="126"/>
      <c r="B272" s="127"/>
      <c r="C272" s="922" t="s">
        <v>182</v>
      </c>
      <c r="D272" s="922"/>
      <c r="E272" s="922"/>
      <c r="F272" s="922"/>
      <c r="G272" s="922"/>
    </row>
    <row r="273" spans="1:7" s="129" customFormat="1" ht="27" customHeight="1">
      <c r="A273" s="126"/>
      <c r="B273" s="127"/>
      <c r="C273" s="922" t="s">
        <v>183</v>
      </c>
      <c r="D273" s="922"/>
      <c r="E273" s="922"/>
      <c r="F273" s="922"/>
      <c r="G273" s="922"/>
    </row>
    <row r="274" spans="1:7" s="129" customFormat="1" ht="69" customHeight="1">
      <c r="A274" s="126"/>
      <c r="B274" s="127"/>
      <c r="C274" s="922" t="s">
        <v>184</v>
      </c>
      <c r="D274" s="922"/>
      <c r="E274" s="922"/>
      <c r="F274" s="922"/>
      <c r="G274" s="922"/>
    </row>
    <row r="275" spans="1:7" s="129" customFormat="1">
      <c r="A275" s="126"/>
      <c r="B275" s="127"/>
      <c r="C275" s="922"/>
      <c r="D275" s="922"/>
      <c r="E275" s="922"/>
      <c r="F275" s="922"/>
      <c r="G275" s="922"/>
    </row>
    <row r="276" spans="1:7" s="129" customFormat="1" ht="26.25" customHeight="1">
      <c r="A276" s="126"/>
      <c r="B276" s="127"/>
      <c r="C276" s="922" t="s">
        <v>185</v>
      </c>
      <c r="D276" s="922"/>
      <c r="E276" s="922"/>
      <c r="F276" s="922"/>
      <c r="G276" s="922"/>
    </row>
    <row r="277" spans="1:7">
      <c r="B277" s="146"/>
      <c r="C277" s="134"/>
      <c r="D277" s="147"/>
      <c r="E277" s="148"/>
      <c r="F277" s="149"/>
      <c r="G277" s="149"/>
    </row>
    <row r="278" spans="1:7" s="140" customFormat="1" ht="13.15">
      <c r="A278" s="150" t="s">
        <v>1135</v>
      </c>
      <c r="B278" s="151"/>
      <c r="C278" s="152" t="s">
        <v>7</v>
      </c>
      <c r="D278" s="153"/>
      <c r="E278" s="154"/>
      <c r="F278" s="149"/>
      <c r="G278" s="149"/>
    </row>
    <row r="279" spans="1:7">
      <c r="B279" s="146"/>
      <c r="C279" s="134"/>
      <c r="D279" s="147"/>
      <c r="E279" s="148"/>
      <c r="F279" s="149"/>
      <c r="G279" s="149"/>
    </row>
    <row r="280" spans="1:7" s="140" customFormat="1" ht="13.15">
      <c r="A280" s="138"/>
      <c r="B280" s="139"/>
      <c r="C280" s="155" t="s">
        <v>46</v>
      </c>
      <c r="D280" s="153"/>
      <c r="E280" s="154"/>
      <c r="F280" s="149"/>
      <c r="G280" s="149"/>
    </row>
    <row r="281" spans="1:7" s="140" customFormat="1" ht="52.5" customHeight="1">
      <c r="A281" s="138"/>
      <c r="B281" s="139"/>
      <c r="C281" s="910" t="s">
        <v>1088</v>
      </c>
      <c r="D281" s="910"/>
      <c r="E281" s="910"/>
      <c r="F281" s="910"/>
      <c r="G281" s="149"/>
    </row>
    <row r="282" spans="1:7" ht="39.75" customHeight="1">
      <c r="B282" s="146"/>
      <c r="C282" s="915" t="s">
        <v>1116</v>
      </c>
      <c r="D282" s="916"/>
      <c r="E282" s="916"/>
      <c r="F282" s="916"/>
      <c r="G282" s="149"/>
    </row>
    <row r="283" spans="1:7" s="140" customFormat="1" ht="57.75" customHeight="1">
      <c r="A283" s="138"/>
      <c r="B283" s="139"/>
      <c r="C283" s="910" t="s">
        <v>1117</v>
      </c>
      <c r="D283" s="910"/>
      <c r="E283" s="910"/>
      <c r="F283" s="910"/>
      <c r="G283" s="149"/>
    </row>
    <row r="284" spans="1:7">
      <c r="B284" s="146"/>
      <c r="C284" s="134"/>
      <c r="D284" s="147"/>
      <c r="E284" s="148"/>
      <c r="F284" s="149"/>
      <c r="G284" s="149"/>
    </row>
    <row r="285" spans="1:7" s="61" customFormat="1">
      <c r="A285" s="63"/>
      <c r="B285" s="157"/>
      <c r="C285" s="158" t="s">
        <v>45</v>
      </c>
      <c r="D285" s="65"/>
      <c r="E285" s="66"/>
      <c r="F285" s="62"/>
      <c r="G285" s="62"/>
    </row>
    <row r="286" spans="1:7" s="61" customFormat="1" ht="78.75" customHeight="1">
      <c r="A286" s="159"/>
      <c r="B286" s="157"/>
      <c r="C286" s="910" t="s">
        <v>844</v>
      </c>
      <c r="D286" s="910"/>
      <c r="E286" s="910"/>
      <c r="F286" s="910"/>
      <c r="G286" s="62"/>
    </row>
    <row r="287" spans="1:7" s="61" customFormat="1" ht="13.15">
      <c r="A287" s="159"/>
      <c r="B287" s="157"/>
      <c r="C287" s="113" t="s">
        <v>44</v>
      </c>
      <c r="D287" s="65"/>
      <c r="E287" s="66"/>
      <c r="F287" s="62"/>
      <c r="G287" s="62"/>
    </row>
    <row r="288" spans="1:7" s="61" customFormat="1" ht="25.5">
      <c r="A288" s="63"/>
      <c r="B288" s="157"/>
      <c r="C288" s="113" t="s">
        <v>9</v>
      </c>
      <c r="D288" s="65"/>
      <c r="E288" s="66"/>
      <c r="G288" s="62"/>
    </row>
    <row r="289" spans="1:7" s="61" customFormat="1" ht="25.5">
      <c r="A289" s="63"/>
      <c r="B289" s="157"/>
      <c r="C289" s="113" t="s">
        <v>40</v>
      </c>
      <c r="D289" s="65"/>
      <c r="E289" s="66"/>
      <c r="F289" s="62"/>
      <c r="G289" s="62"/>
    </row>
    <row r="290" spans="1:7" s="61" customFormat="1" ht="39.75" customHeight="1">
      <c r="A290" s="63"/>
      <c r="B290" s="157"/>
      <c r="C290" s="113" t="s">
        <v>41</v>
      </c>
      <c r="D290" s="65"/>
      <c r="E290" s="66"/>
      <c r="F290" s="62"/>
      <c r="G290" s="62"/>
    </row>
    <row r="291" spans="1:7" s="61" customFormat="1" ht="26.25" customHeight="1">
      <c r="A291" s="63"/>
      <c r="B291" s="157"/>
      <c r="C291" s="113" t="s">
        <v>42</v>
      </c>
      <c r="D291" s="65"/>
      <c r="E291" s="66"/>
      <c r="F291" s="62"/>
      <c r="G291" s="62"/>
    </row>
    <row r="292" spans="1:7" s="61" customFormat="1" ht="13.5" customHeight="1">
      <c r="A292" s="63"/>
      <c r="B292" s="157"/>
      <c r="C292" s="113" t="s">
        <v>43</v>
      </c>
      <c r="D292" s="65"/>
      <c r="E292" s="66"/>
      <c r="F292" s="62"/>
      <c r="G292" s="62"/>
    </row>
    <row r="293" spans="1:7" s="61" customFormat="1" ht="40.5" customHeight="1">
      <c r="A293" s="63"/>
      <c r="B293" s="157"/>
      <c r="C293" s="910" t="s">
        <v>845</v>
      </c>
      <c r="D293" s="910"/>
      <c r="E293" s="910"/>
      <c r="F293" s="910"/>
      <c r="G293" s="910"/>
    </row>
    <row r="294" spans="1:7" s="61" customFormat="1" ht="15" customHeight="1">
      <c r="A294" s="63"/>
      <c r="B294" s="157"/>
      <c r="C294" s="910" t="s">
        <v>132</v>
      </c>
      <c r="D294" s="910"/>
      <c r="E294" s="910"/>
      <c r="F294" s="910"/>
      <c r="G294" s="910"/>
    </row>
    <row r="295" spans="1:7" s="57" customFormat="1">
      <c r="A295" s="55"/>
      <c r="B295" s="160"/>
      <c r="C295" s="161"/>
      <c r="D295" s="59"/>
      <c r="E295" s="60"/>
      <c r="F295" s="62"/>
      <c r="G295" s="62"/>
    </row>
    <row r="296" spans="1:7" s="129" customFormat="1" ht="13.15">
      <c r="A296" s="162"/>
      <c r="B296" s="127"/>
      <c r="C296" s="163" t="s">
        <v>8</v>
      </c>
      <c r="D296" s="164"/>
      <c r="E296" s="165"/>
      <c r="F296" s="149"/>
      <c r="G296" s="149"/>
    </row>
    <row r="297" spans="1:7" s="129" customFormat="1">
      <c r="A297" s="126"/>
      <c r="B297" s="127"/>
      <c r="C297" s="899" t="s">
        <v>392</v>
      </c>
      <c r="D297" s="899"/>
      <c r="E297" s="899"/>
      <c r="F297" s="899"/>
      <c r="G297" s="899"/>
    </row>
    <row r="298" spans="1:7" s="129" customFormat="1" ht="43.5" customHeight="1">
      <c r="A298" s="126"/>
      <c r="B298" s="127"/>
      <c r="C298" s="899" t="s">
        <v>186</v>
      </c>
      <c r="D298" s="899"/>
      <c r="E298" s="899"/>
      <c r="F298" s="899"/>
      <c r="G298" s="899"/>
    </row>
    <row r="299" spans="1:7" s="129" customFormat="1" ht="41.25" customHeight="1">
      <c r="A299" s="126"/>
      <c r="B299" s="127"/>
      <c r="C299" s="899" t="s">
        <v>187</v>
      </c>
      <c r="D299" s="899"/>
      <c r="E299" s="899"/>
      <c r="F299" s="899"/>
      <c r="G299" s="899"/>
    </row>
    <row r="300" spans="1:7" s="129" customFormat="1" ht="29.25" customHeight="1">
      <c r="A300" s="126"/>
      <c r="B300" s="127"/>
      <c r="C300" s="899" t="s">
        <v>188</v>
      </c>
      <c r="D300" s="899"/>
      <c r="E300" s="899"/>
      <c r="F300" s="899"/>
      <c r="G300" s="899"/>
    </row>
    <row r="301" spans="1:7" s="129" customFormat="1" ht="53.25" customHeight="1">
      <c r="A301" s="126"/>
      <c r="B301" s="127"/>
      <c r="C301" s="899" t="s">
        <v>189</v>
      </c>
      <c r="D301" s="899"/>
      <c r="E301" s="899"/>
      <c r="F301" s="899"/>
      <c r="G301" s="899"/>
    </row>
    <row r="302" spans="1:7" s="129" customFormat="1" ht="43.5" customHeight="1">
      <c r="A302" s="126"/>
      <c r="B302" s="127"/>
      <c r="C302" s="899" t="s">
        <v>190</v>
      </c>
      <c r="D302" s="899"/>
      <c r="E302" s="899"/>
      <c r="F302" s="899"/>
      <c r="G302" s="899"/>
    </row>
    <row r="303" spans="1:7" s="129" customFormat="1" ht="59.25" customHeight="1">
      <c r="A303" s="126"/>
      <c r="B303" s="127"/>
      <c r="C303" s="899" t="s">
        <v>191</v>
      </c>
      <c r="D303" s="899"/>
      <c r="E303" s="899"/>
      <c r="F303" s="899"/>
      <c r="G303" s="899"/>
    </row>
    <row r="304" spans="1:7" s="129" customFormat="1" ht="60" customHeight="1">
      <c r="A304" s="126"/>
      <c r="B304" s="127"/>
      <c r="C304" s="899" t="s">
        <v>192</v>
      </c>
      <c r="D304" s="899"/>
      <c r="E304" s="899"/>
      <c r="F304" s="899"/>
      <c r="G304" s="899"/>
    </row>
    <row r="305" spans="1:7" s="129" customFormat="1" ht="39.75" customHeight="1">
      <c r="A305" s="126"/>
      <c r="B305" s="127"/>
      <c r="C305" s="899" t="s">
        <v>193</v>
      </c>
      <c r="D305" s="899"/>
      <c r="E305" s="899"/>
      <c r="F305" s="899"/>
      <c r="G305" s="899"/>
    </row>
    <row r="306" spans="1:7" s="129" customFormat="1" ht="26.25" customHeight="1">
      <c r="A306" s="126"/>
      <c r="B306" s="127"/>
      <c r="C306" s="899" t="s">
        <v>194</v>
      </c>
      <c r="D306" s="899"/>
      <c r="E306" s="899"/>
      <c r="F306" s="899"/>
      <c r="G306" s="899"/>
    </row>
    <row r="307" spans="1:7" s="129" customFormat="1" ht="51" customHeight="1">
      <c r="A307" s="126"/>
      <c r="B307" s="127"/>
      <c r="C307" s="899" t="s">
        <v>195</v>
      </c>
      <c r="D307" s="899"/>
      <c r="E307" s="899"/>
      <c r="F307" s="899"/>
      <c r="G307" s="899"/>
    </row>
    <row r="308" spans="1:7" s="129" customFormat="1" ht="23.25" customHeight="1">
      <c r="A308" s="126"/>
      <c r="B308" s="127"/>
      <c r="C308" s="899" t="s">
        <v>196</v>
      </c>
      <c r="D308" s="899"/>
      <c r="E308" s="899"/>
      <c r="F308" s="899"/>
      <c r="G308" s="899"/>
    </row>
    <row r="309" spans="1:7" s="129" customFormat="1" ht="18" customHeight="1">
      <c r="A309" s="126"/>
      <c r="B309" s="127"/>
      <c r="C309" s="899" t="s">
        <v>197</v>
      </c>
      <c r="D309" s="899"/>
      <c r="E309" s="899"/>
      <c r="F309" s="899"/>
      <c r="G309" s="899"/>
    </row>
    <row r="310" spans="1:7" s="129" customFormat="1" ht="54" customHeight="1">
      <c r="A310" s="126"/>
      <c r="B310" s="127"/>
      <c r="C310" s="899" t="s">
        <v>198</v>
      </c>
      <c r="D310" s="899"/>
      <c r="E310" s="899"/>
      <c r="F310" s="899"/>
      <c r="G310" s="899"/>
    </row>
    <row r="311" spans="1:7" s="129" customFormat="1" ht="42" customHeight="1">
      <c r="A311" s="126"/>
      <c r="B311" s="127"/>
      <c r="C311" s="899" t="s">
        <v>199</v>
      </c>
      <c r="D311" s="899"/>
      <c r="E311" s="899"/>
      <c r="F311" s="899"/>
      <c r="G311" s="899"/>
    </row>
    <row r="312" spans="1:7" s="129" customFormat="1" ht="33.75" customHeight="1">
      <c r="A312" s="126"/>
      <c r="B312" s="127"/>
      <c r="C312" s="899" t="s">
        <v>1923</v>
      </c>
      <c r="D312" s="899"/>
      <c r="E312" s="899"/>
      <c r="F312" s="899"/>
      <c r="G312" s="899"/>
    </row>
    <row r="313" spans="1:7" s="57" customFormat="1" ht="12.75" customHeight="1">
      <c r="A313" s="55"/>
      <c r="B313" s="160"/>
      <c r="C313" s="161"/>
      <c r="D313" s="59"/>
      <c r="E313" s="60"/>
      <c r="F313" s="62"/>
      <c r="G313" s="62"/>
    </row>
    <row r="314" spans="1:7" s="57" customFormat="1" ht="13.15">
      <c r="A314" s="150" t="s">
        <v>117</v>
      </c>
      <c r="B314" s="166"/>
      <c r="C314" s="167" t="s">
        <v>45</v>
      </c>
      <c r="D314" s="168"/>
      <c r="E314" s="169"/>
      <c r="F314" s="62"/>
      <c r="G314" s="62"/>
    </row>
    <row r="315" spans="1:7" s="57" customFormat="1" ht="13.15">
      <c r="A315" s="150"/>
      <c r="B315" s="166"/>
      <c r="C315" s="158" t="s">
        <v>1128</v>
      </c>
      <c r="D315" s="168"/>
      <c r="E315" s="169"/>
      <c r="F315" s="62"/>
      <c r="G315" s="62"/>
    </row>
    <row r="316" spans="1:7" s="57" customFormat="1" ht="13.15">
      <c r="A316" s="150"/>
      <c r="B316" s="166"/>
      <c r="C316" s="158"/>
      <c r="D316" s="168"/>
      <c r="E316" s="169"/>
      <c r="F316" s="62"/>
      <c r="G316" s="62"/>
    </row>
    <row r="317" spans="1:7" s="57" customFormat="1" ht="153.4">
      <c r="A317" s="150" t="s">
        <v>117</v>
      </c>
      <c r="B317" s="170">
        <v>1</v>
      </c>
      <c r="C317" s="158" t="s">
        <v>1085</v>
      </c>
      <c r="D317" s="168"/>
      <c r="E317" s="355"/>
      <c r="F317" s="62"/>
      <c r="G317" s="62"/>
    </row>
    <row r="318" spans="1:7" s="57" customFormat="1">
      <c r="A318" s="171"/>
      <c r="B318" s="170"/>
      <c r="C318" s="158"/>
      <c r="D318" s="168" t="s">
        <v>1016</v>
      </c>
      <c r="E318" s="355">
        <v>1</v>
      </c>
      <c r="F318" s="15"/>
      <c r="G318" s="356">
        <f t="shared" ref="G318" si="0">E318*F318</f>
        <v>0</v>
      </c>
    </row>
    <row r="319" spans="1:7" s="57" customFormat="1">
      <c r="A319" s="171"/>
      <c r="B319" s="170"/>
      <c r="C319" s="158"/>
      <c r="D319" s="168"/>
      <c r="E319" s="355"/>
      <c r="F319" s="62"/>
      <c r="G319" s="62"/>
    </row>
    <row r="320" spans="1:7" s="57" customFormat="1" ht="102.4">
      <c r="A320" s="150" t="s">
        <v>117</v>
      </c>
      <c r="B320" s="170">
        <v>2</v>
      </c>
      <c r="C320" s="158" t="s">
        <v>1081</v>
      </c>
      <c r="D320" s="168"/>
      <c r="E320" s="355"/>
      <c r="F320" s="62"/>
      <c r="G320" s="62"/>
    </row>
    <row r="321" spans="1:7" s="57" customFormat="1">
      <c r="A321" s="171"/>
      <c r="B321" s="170"/>
      <c r="C321" s="158"/>
      <c r="D321" s="170" t="s">
        <v>23</v>
      </c>
      <c r="E321" s="357">
        <v>304</v>
      </c>
      <c r="F321" s="350"/>
      <c r="G321" s="354">
        <f t="shared" ref="G321" si="1">E321*F321</f>
        <v>0</v>
      </c>
    </row>
    <row r="322" spans="1:7" s="57" customFormat="1">
      <c r="A322" s="171"/>
      <c r="B322" s="170"/>
      <c r="C322" s="158"/>
      <c r="D322" s="170"/>
      <c r="E322" s="357"/>
      <c r="F322" s="173"/>
      <c r="G322" s="173"/>
    </row>
    <row r="323" spans="1:7" s="57" customFormat="1" ht="51.4">
      <c r="A323" s="150" t="s">
        <v>117</v>
      </c>
      <c r="B323" s="170">
        <v>3</v>
      </c>
      <c r="C323" s="158" t="s">
        <v>1082</v>
      </c>
      <c r="D323" s="170"/>
      <c r="E323" s="357"/>
      <c r="F323" s="173"/>
      <c r="G323" s="173"/>
    </row>
    <row r="324" spans="1:7" s="57" customFormat="1">
      <c r="A324" s="171"/>
      <c r="B324" s="170"/>
      <c r="C324" s="158"/>
      <c r="D324" s="170" t="s">
        <v>1016</v>
      </c>
      <c r="E324" s="357">
        <v>1</v>
      </c>
      <c r="F324" s="350"/>
      <c r="G324" s="354">
        <f t="shared" ref="G324" si="2">E324*F324</f>
        <v>0</v>
      </c>
    </row>
    <row r="325" spans="1:7" s="57" customFormat="1">
      <c r="A325" s="171"/>
      <c r="B325" s="170"/>
      <c r="C325" s="158"/>
      <c r="D325" s="170"/>
      <c r="E325" s="357"/>
      <c r="F325" s="173"/>
      <c r="G325" s="173"/>
    </row>
    <row r="326" spans="1:7" s="57" customFormat="1" ht="38.65">
      <c r="A326" s="150" t="s">
        <v>117</v>
      </c>
      <c r="B326" s="170">
        <v>4</v>
      </c>
      <c r="C326" s="158" t="s">
        <v>1083</v>
      </c>
      <c r="D326" s="170"/>
      <c r="E326" s="357"/>
      <c r="F326" s="173"/>
      <c r="G326" s="173"/>
    </row>
    <row r="327" spans="1:7" s="57" customFormat="1">
      <c r="A327" s="171"/>
      <c r="B327" s="170"/>
      <c r="C327" s="158"/>
      <c r="D327" s="170" t="s">
        <v>2</v>
      </c>
      <c r="E327" s="357">
        <v>4965</v>
      </c>
      <c r="F327" s="350"/>
      <c r="G327" s="354">
        <f t="shared" ref="G327" si="3">E327*F327</f>
        <v>0</v>
      </c>
    </row>
    <row r="328" spans="1:7" s="57" customFormat="1">
      <c r="A328" s="171"/>
      <c r="B328" s="170"/>
      <c r="C328" s="158"/>
      <c r="D328" s="170"/>
      <c r="E328" s="357"/>
      <c r="F328" s="173"/>
      <c r="G328" s="173"/>
    </row>
    <row r="329" spans="1:7" s="57" customFormat="1" ht="38.65">
      <c r="A329" s="150" t="s">
        <v>117</v>
      </c>
      <c r="B329" s="170">
        <v>5</v>
      </c>
      <c r="C329" s="158" t="s">
        <v>1084</v>
      </c>
      <c r="D329" s="170"/>
      <c r="E329" s="357"/>
      <c r="F329" s="173"/>
      <c r="G329" s="173"/>
    </row>
    <row r="330" spans="1:7" s="57" customFormat="1">
      <c r="A330" s="171"/>
      <c r="B330" s="170"/>
      <c r="C330" s="158"/>
      <c r="D330" s="170" t="s">
        <v>2</v>
      </c>
      <c r="E330" s="357">
        <v>2000</v>
      </c>
      <c r="F330" s="350"/>
      <c r="G330" s="354">
        <f t="shared" ref="G330" si="4">E330*F330</f>
        <v>0</v>
      </c>
    </row>
    <row r="331" spans="1:7" s="57" customFormat="1">
      <c r="A331" s="171"/>
      <c r="B331" s="170"/>
      <c r="C331" s="158"/>
      <c r="D331" s="170"/>
      <c r="E331" s="357"/>
      <c r="F331" s="173"/>
      <c r="G331" s="173"/>
    </row>
    <row r="332" spans="1:7" s="57" customFormat="1" ht="89.65">
      <c r="A332" s="150" t="s">
        <v>117</v>
      </c>
      <c r="B332" s="170">
        <v>6</v>
      </c>
      <c r="C332" s="158" t="s">
        <v>1080</v>
      </c>
      <c r="D332" s="170"/>
      <c r="E332" s="357"/>
      <c r="F332" s="173"/>
      <c r="G332" s="173"/>
    </row>
    <row r="333" spans="1:7" s="57" customFormat="1">
      <c r="A333" s="171"/>
      <c r="B333" s="170"/>
      <c r="C333" s="158"/>
      <c r="D333" s="170" t="s">
        <v>1016</v>
      </c>
      <c r="E333" s="357">
        <v>1</v>
      </c>
      <c r="F333" s="350"/>
      <c r="G333" s="354">
        <f t="shared" ref="G333" si="5">E333*F333</f>
        <v>0</v>
      </c>
    </row>
    <row r="334" spans="1:7" s="57" customFormat="1">
      <c r="A334" s="55"/>
      <c r="B334" s="160"/>
      <c r="C334" s="161"/>
      <c r="D334" s="160"/>
      <c r="E334" s="174"/>
      <c r="F334" s="173"/>
      <c r="G334" s="173"/>
    </row>
    <row r="335" spans="1:7" s="57" customFormat="1" ht="249.75" customHeight="1">
      <c r="A335" s="150" t="s">
        <v>117</v>
      </c>
      <c r="B335" s="170">
        <v>7</v>
      </c>
      <c r="C335" s="175" t="s">
        <v>1946</v>
      </c>
      <c r="D335" s="170"/>
      <c r="E335" s="357"/>
      <c r="F335" s="173"/>
      <c r="G335" s="173"/>
    </row>
    <row r="336" spans="1:7" s="57" customFormat="1">
      <c r="A336" s="171"/>
      <c r="B336" s="170"/>
      <c r="C336" s="176" t="s">
        <v>1942</v>
      </c>
      <c r="D336" s="170" t="s">
        <v>23</v>
      </c>
      <c r="E336" s="357">
        <v>136</v>
      </c>
      <c r="F336" s="350"/>
      <c r="G336" s="354">
        <f t="shared" ref="G336" si="6">E336*F336</f>
        <v>0</v>
      </c>
    </row>
    <row r="337" spans="1:7" s="57" customFormat="1" ht="26.25" customHeight="1">
      <c r="A337" s="171"/>
      <c r="B337" s="170"/>
      <c r="C337" s="176" t="s">
        <v>1943</v>
      </c>
      <c r="D337" s="170" t="s">
        <v>10</v>
      </c>
      <c r="E337" s="357">
        <v>15</v>
      </c>
      <c r="F337" s="350"/>
      <c r="G337" s="354">
        <f t="shared" ref="G337" si="7">E337*F337</f>
        <v>0</v>
      </c>
    </row>
    <row r="338" spans="1:7" s="57" customFormat="1" ht="25.5">
      <c r="A338" s="171"/>
      <c r="B338" s="170"/>
      <c r="C338" s="176" t="s">
        <v>1944</v>
      </c>
      <c r="D338" s="170" t="s">
        <v>10</v>
      </c>
      <c r="E338" s="357">
        <v>5</v>
      </c>
      <c r="F338" s="350"/>
      <c r="G338" s="354">
        <f t="shared" ref="G338" si="8">E338*F338</f>
        <v>0</v>
      </c>
    </row>
    <row r="339" spans="1:7" s="57" customFormat="1">
      <c r="A339" s="171"/>
      <c r="B339" s="170"/>
      <c r="C339" s="176" t="s">
        <v>1945</v>
      </c>
      <c r="D339" s="170" t="s">
        <v>10</v>
      </c>
      <c r="E339" s="357">
        <v>2</v>
      </c>
      <c r="F339" s="350"/>
      <c r="G339" s="354">
        <f t="shared" ref="G339" si="9">E339*F339</f>
        <v>0</v>
      </c>
    </row>
    <row r="340" spans="1:7" s="57" customFormat="1">
      <c r="A340" s="171"/>
      <c r="B340" s="170"/>
      <c r="C340" s="158"/>
      <c r="D340" s="170"/>
      <c r="E340" s="357"/>
      <c r="F340" s="173"/>
      <c r="G340" s="173"/>
    </row>
    <row r="341" spans="1:7" s="177" customFormat="1" ht="243">
      <c r="A341" s="150" t="s">
        <v>117</v>
      </c>
      <c r="B341" s="170">
        <v>8</v>
      </c>
      <c r="C341" s="175" t="s">
        <v>2000</v>
      </c>
      <c r="D341" s="180"/>
      <c r="E341" s="358"/>
      <c r="F341" s="173"/>
      <c r="G341" s="173"/>
    </row>
    <row r="342" spans="1:7" s="178" customFormat="1">
      <c r="A342" s="171"/>
      <c r="B342" s="170"/>
      <c r="C342" s="176" t="s">
        <v>1947</v>
      </c>
      <c r="D342" s="170" t="s">
        <v>2</v>
      </c>
      <c r="E342" s="357">
        <v>20.71</v>
      </c>
      <c r="F342" s="350"/>
      <c r="G342" s="354">
        <f t="shared" ref="G342" si="10">E342*F342</f>
        <v>0</v>
      </c>
    </row>
    <row r="343" spans="1:7" s="178" customFormat="1">
      <c r="A343" s="171"/>
      <c r="B343" s="170"/>
      <c r="C343" s="176" t="s">
        <v>1948</v>
      </c>
      <c r="D343" s="170" t="s">
        <v>2</v>
      </c>
      <c r="E343" s="357">
        <v>55.8</v>
      </c>
      <c r="F343" s="350"/>
      <c r="G343" s="354">
        <f t="shared" ref="G343" si="11">E343*F343</f>
        <v>0</v>
      </c>
    </row>
    <row r="344" spans="1:7" s="177" customFormat="1">
      <c r="A344" s="179"/>
      <c r="B344" s="180"/>
      <c r="C344" s="181"/>
      <c r="D344" s="180"/>
      <c r="E344" s="358"/>
      <c r="F344" s="173"/>
      <c r="G344" s="173"/>
    </row>
    <row r="345" spans="1:7" s="177" customFormat="1" ht="191.65">
      <c r="A345" s="150" t="s">
        <v>117</v>
      </c>
      <c r="B345" s="170">
        <v>9</v>
      </c>
      <c r="C345" s="175" t="s">
        <v>2001</v>
      </c>
      <c r="D345" s="180"/>
      <c r="E345" s="358"/>
      <c r="F345" s="173"/>
      <c r="G345" s="173"/>
    </row>
    <row r="346" spans="1:7" s="178" customFormat="1">
      <c r="A346" s="171"/>
      <c r="B346" s="170"/>
      <c r="C346" s="176" t="s">
        <v>1949</v>
      </c>
      <c r="D346" s="170" t="s">
        <v>2</v>
      </c>
      <c r="E346" s="357">
        <v>234.21</v>
      </c>
      <c r="F346" s="350"/>
      <c r="G346" s="354">
        <f t="shared" ref="G346:G348" si="12">E346*F346</f>
        <v>0</v>
      </c>
    </row>
    <row r="347" spans="1:7" s="178" customFormat="1">
      <c r="A347" s="171"/>
      <c r="B347" s="170"/>
      <c r="C347" s="176" t="s">
        <v>1950</v>
      </c>
      <c r="D347" s="170" t="s">
        <v>2</v>
      </c>
      <c r="E347" s="357">
        <v>100</v>
      </c>
      <c r="F347" s="350"/>
      <c r="G347" s="354">
        <f t="shared" si="12"/>
        <v>0</v>
      </c>
    </row>
    <row r="348" spans="1:7" s="178" customFormat="1">
      <c r="A348" s="171"/>
      <c r="B348" s="170"/>
      <c r="C348" s="176" t="s">
        <v>1951</v>
      </c>
      <c r="D348" s="170" t="s">
        <v>24</v>
      </c>
      <c r="E348" s="357">
        <v>12</v>
      </c>
      <c r="F348" s="350"/>
      <c r="G348" s="354">
        <f t="shared" si="12"/>
        <v>0</v>
      </c>
    </row>
    <row r="349" spans="1:7" s="178" customFormat="1">
      <c r="A349" s="171"/>
      <c r="B349" s="170"/>
      <c r="C349" s="176" t="s">
        <v>1952</v>
      </c>
      <c r="D349" s="170" t="s">
        <v>24</v>
      </c>
      <c r="E349" s="357">
        <v>33</v>
      </c>
      <c r="F349" s="350"/>
      <c r="G349" s="354">
        <f t="shared" ref="G349" si="13">E349*F349</f>
        <v>0</v>
      </c>
    </row>
    <row r="350" spans="1:7" s="178" customFormat="1">
      <c r="A350" s="171"/>
      <c r="B350" s="170"/>
      <c r="C350" s="182"/>
      <c r="D350" s="170"/>
      <c r="E350" s="357"/>
      <c r="F350" s="173"/>
      <c r="G350" s="173"/>
    </row>
    <row r="351" spans="1:7" s="178" customFormat="1">
      <c r="A351" s="171"/>
      <c r="B351" s="170"/>
      <c r="C351" s="182"/>
      <c r="D351" s="170"/>
      <c r="E351" s="357"/>
      <c r="F351" s="173"/>
      <c r="G351" s="173"/>
    </row>
    <row r="352" spans="1:7" s="140" customFormat="1" ht="13.15">
      <c r="A352" s="159" t="s">
        <v>117</v>
      </c>
      <c r="B352" s="139"/>
      <c r="C352" s="183" t="s">
        <v>143</v>
      </c>
      <c r="D352" s="430"/>
      <c r="E352" s="431"/>
      <c r="F352" s="432"/>
      <c r="G352" s="432">
        <f>SUM(G317:G349)</f>
        <v>0</v>
      </c>
    </row>
    <row r="353" spans="1:7" s="140" customFormat="1" ht="13.15">
      <c r="A353" s="159"/>
      <c r="B353" s="139"/>
      <c r="C353" s="156"/>
      <c r="D353" s="139"/>
      <c r="E353" s="385"/>
      <c r="F353" s="422"/>
      <c r="G353" s="422"/>
    </row>
    <row r="354" spans="1:7" s="140" customFormat="1" ht="13.15">
      <c r="A354" s="159"/>
      <c r="B354" s="139"/>
      <c r="C354" s="156"/>
      <c r="D354" s="139"/>
      <c r="E354" s="385"/>
      <c r="F354" s="422"/>
      <c r="G354" s="422"/>
    </row>
    <row r="355" spans="1:7" s="61" customFormat="1" ht="13.15">
      <c r="A355" s="159" t="s">
        <v>118</v>
      </c>
      <c r="B355" s="187"/>
      <c r="C355" s="167" t="s">
        <v>8</v>
      </c>
      <c r="D355" s="157"/>
      <c r="E355" s="415"/>
      <c r="F355" s="173"/>
      <c r="G355" s="173"/>
    </row>
    <row r="356" spans="1:7" s="61" customFormat="1" ht="102">
      <c r="A356" s="159"/>
      <c r="B356" s="187"/>
      <c r="C356" s="113" t="s">
        <v>1086</v>
      </c>
      <c r="D356" s="157"/>
      <c r="E356" s="415"/>
      <c r="F356" s="173"/>
      <c r="G356" s="173"/>
    </row>
    <row r="357" spans="1:7" s="61" customFormat="1" ht="13.15">
      <c r="A357" s="159"/>
      <c r="B357" s="187"/>
      <c r="C357" s="113"/>
      <c r="D357" s="157"/>
      <c r="E357" s="415"/>
      <c r="F357" s="173"/>
      <c r="G357" s="173"/>
    </row>
    <row r="358" spans="1:7" s="57" customFormat="1" ht="211.5" customHeight="1">
      <c r="A358" s="159" t="s">
        <v>118</v>
      </c>
      <c r="B358" s="157">
        <v>1</v>
      </c>
      <c r="C358" s="175" t="s">
        <v>1087</v>
      </c>
      <c r="D358" s="160"/>
      <c r="E358" s="433"/>
      <c r="F358" s="173"/>
      <c r="G358" s="173"/>
    </row>
    <row r="359" spans="1:7" s="57" customFormat="1">
      <c r="A359" s="55"/>
      <c r="B359" s="160"/>
      <c r="C359" s="161"/>
      <c r="D359" s="157" t="s">
        <v>2</v>
      </c>
      <c r="E359" s="415">
        <v>469.7</v>
      </c>
      <c r="F359" s="350"/>
      <c r="G359" s="354">
        <f t="shared" ref="G359" si="14">E359*F359</f>
        <v>0</v>
      </c>
    </row>
    <row r="360" spans="1:7" s="57" customFormat="1">
      <c r="A360" s="55"/>
      <c r="B360" s="160"/>
      <c r="C360" s="188"/>
      <c r="D360" s="188"/>
      <c r="E360" s="359"/>
      <c r="F360" s="62"/>
      <c r="G360" s="62"/>
    </row>
    <row r="361" spans="1:7" s="178" customFormat="1" ht="64.150000000000006">
      <c r="A361" s="159" t="s">
        <v>118</v>
      </c>
      <c r="B361" s="170">
        <v>2</v>
      </c>
      <c r="C361" s="158" t="s">
        <v>1090</v>
      </c>
      <c r="D361" s="170"/>
      <c r="E361" s="357"/>
      <c r="F361" s="173"/>
      <c r="G361" s="173"/>
    </row>
    <row r="362" spans="1:7" s="57" customFormat="1">
      <c r="A362" s="55"/>
      <c r="B362" s="160"/>
      <c r="C362" s="161"/>
      <c r="D362" s="157" t="s">
        <v>10</v>
      </c>
      <c r="E362" s="415">
        <v>385.16</v>
      </c>
      <c r="F362" s="350"/>
      <c r="G362" s="354">
        <f t="shared" ref="G362" si="15">E362*F362</f>
        <v>0</v>
      </c>
    </row>
    <row r="363" spans="1:7" s="57" customFormat="1">
      <c r="A363" s="55"/>
      <c r="B363" s="160"/>
      <c r="C363" s="161"/>
      <c r="D363" s="160"/>
      <c r="E363" s="433"/>
      <c r="F363" s="173"/>
      <c r="G363" s="173"/>
    </row>
    <row r="364" spans="1:7" s="140" customFormat="1" ht="76.900000000000006">
      <c r="A364" s="159" t="s">
        <v>118</v>
      </c>
      <c r="B364" s="139">
        <v>3</v>
      </c>
      <c r="C364" s="156" t="s">
        <v>1089</v>
      </c>
      <c r="D364" s="139"/>
      <c r="E364" s="385"/>
      <c r="F364" s="422"/>
      <c r="G364" s="422"/>
    </row>
    <row r="365" spans="1:7" s="140" customFormat="1">
      <c r="A365" s="138"/>
      <c r="B365" s="139"/>
      <c r="C365" s="113" t="s">
        <v>48</v>
      </c>
      <c r="D365" s="139" t="s">
        <v>10</v>
      </c>
      <c r="E365" s="385">
        <v>80.930000000000007</v>
      </c>
      <c r="F365" s="423"/>
      <c r="G365" s="354">
        <f t="shared" ref="G365" si="16">E365*F365</f>
        <v>0</v>
      </c>
    </row>
    <row r="366" spans="1:7">
      <c r="B366" s="146"/>
      <c r="C366" s="134"/>
      <c r="D366" s="146"/>
      <c r="E366" s="399"/>
      <c r="F366" s="422"/>
      <c r="G366" s="422"/>
    </row>
    <row r="367" spans="1:7" ht="122.25" customHeight="1">
      <c r="A367" s="159" t="s">
        <v>118</v>
      </c>
      <c r="B367" s="139">
        <v>4</v>
      </c>
      <c r="C367" s="156" t="s">
        <v>1091</v>
      </c>
      <c r="D367" s="146"/>
      <c r="E367" s="399"/>
      <c r="F367" s="422"/>
      <c r="G367" s="422"/>
    </row>
    <row r="368" spans="1:7" s="140" customFormat="1">
      <c r="A368" s="138"/>
      <c r="B368" s="139"/>
      <c r="C368" s="156" t="s">
        <v>48</v>
      </c>
      <c r="D368" s="139" t="s">
        <v>2</v>
      </c>
      <c r="E368" s="385">
        <v>469.7</v>
      </c>
      <c r="F368" s="423"/>
      <c r="G368" s="354">
        <f t="shared" ref="G368" si="17">E368*F368</f>
        <v>0</v>
      </c>
    </row>
    <row r="369" spans="1:12">
      <c r="B369" s="146"/>
      <c r="C369" s="134"/>
      <c r="D369" s="146"/>
      <c r="E369" s="399"/>
      <c r="F369" s="422"/>
      <c r="G369" s="422"/>
    </row>
    <row r="370" spans="1:12" s="57" customFormat="1" ht="153.4">
      <c r="A370" s="159" t="s">
        <v>118</v>
      </c>
      <c r="B370" s="157">
        <v>5</v>
      </c>
      <c r="C370" s="158" t="s">
        <v>1094</v>
      </c>
      <c r="D370" s="160"/>
      <c r="E370" s="433"/>
      <c r="F370" s="173"/>
      <c r="G370" s="173"/>
      <c r="H370" s="161"/>
      <c r="I370" s="161"/>
      <c r="J370" s="161"/>
      <c r="K370" s="161"/>
      <c r="L370" s="161"/>
    </row>
    <row r="371" spans="1:12" s="57" customFormat="1" ht="12.75" customHeight="1">
      <c r="A371" s="55"/>
      <c r="B371" s="157"/>
      <c r="C371" s="113" t="s">
        <v>48</v>
      </c>
      <c r="D371" s="157" t="s">
        <v>10</v>
      </c>
      <c r="E371" s="415">
        <v>140.91</v>
      </c>
      <c r="F371" s="350"/>
      <c r="G371" s="354">
        <f t="shared" ref="G371" si="18">E371*F371</f>
        <v>0</v>
      </c>
      <c r="H371" s="900"/>
      <c r="I371" s="900"/>
      <c r="J371" s="900"/>
      <c r="K371" s="900"/>
      <c r="L371" s="900"/>
    </row>
    <row r="372" spans="1:12">
      <c r="B372" s="139"/>
      <c r="C372" s="134"/>
      <c r="D372" s="146"/>
      <c r="E372" s="399"/>
      <c r="F372" s="422"/>
      <c r="G372" s="422"/>
    </row>
    <row r="373" spans="1:12" ht="102.4">
      <c r="A373" s="159" t="s">
        <v>118</v>
      </c>
      <c r="B373" s="139">
        <v>6</v>
      </c>
      <c r="C373" s="156" t="s">
        <v>1095</v>
      </c>
      <c r="D373" s="146"/>
      <c r="E373" s="399"/>
      <c r="F373" s="422"/>
      <c r="G373" s="422"/>
    </row>
    <row r="374" spans="1:12">
      <c r="B374" s="139"/>
      <c r="C374" s="156" t="s">
        <v>48</v>
      </c>
      <c r="D374" s="157" t="s">
        <v>10</v>
      </c>
      <c r="E374" s="415">
        <v>18.600000000000001</v>
      </c>
      <c r="F374" s="423"/>
      <c r="G374" s="354">
        <f t="shared" ref="G374" si="19">E374*F374</f>
        <v>0</v>
      </c>
    </row>
    <row r="375" spans="1:12">
      <c r="B375" s="139"/>
      <c r="C375" s="134"/>
      <c r="D375" s="146"/>
      <c r="E375" s="399"/>
      <c r="F375" s="422"/>
      <c r="G375" s="422"/>
    </row>
    <row r="376" spans="1:12" s="57" customFormat="1" ht="64.5" customHeight="1">
      <c r="A376" s="159" t="s">
        <v>118</v>
      </c>
      <c r="B376" s="157">
        <v>7</v>
      </c>
      <c r="C376" s="189" t="s">
        <v>1093</v>
      </c>
      <c r="D376" s="160"/>
      <c r="E376" s="433"/>
      <c r="F376" s="173"/>
      <c r="G376" s="173"/>
    </row>
    <row r="377" spans="1:12" s="57" customFormat="1">
      <c r="A377" s="55"/>
      <c r="B377" s="160"/>
      <c r="C377" s="161" t="s">
        <v>11</v>
      </c>
      <c r="D377" s="157" t="s">
        <v>10</v>
      </c>
      <c r="E377" s="415">
        <v>385.16</v>
      </c>
      <c r="F377" s="350"/>
      <c r="G377" s="354">
        <f t="shared" ref="G377" si="20">E377*F377</f>
        <v>0</v>
      </c>
    </row>
    <row r="378" spans="1:12" s="57" customFormat="1">
      <c r="A378" s="55"/>
      <c r="B378" s="160"/>
      <c r="C378" s="161"/>
      <c r="D378" s="59"/>
      <c r="E378" s="60"/>
      <c r="F378" s="62"/>
      <c r="G378" s="62"/>
    </row>
    <row r="379" spans="1:12" s="61" customFormat="1">
      <c r="A379" s="63"/>
      <c r="B379" s="157"/>
      <c r="C379" s="113" t="s">
        <v>90</v>
      </c>
      <c r="D379" s="65"/>
      <c r="E379" s="66"/>
      <c r="F379" s="62"/>
      <c r="G379" s="62"/>
    </row>
    <row r="380" spans="1:12" s="61" customFormat="1" ht="38.25">
      <c r="A380" s="63"/>
      <c r="B380" s="157"/>
      <c r="C380" s="156" t="s">
        <v>1092</v>
      </c>
      <c r="D380" s="65"/>
      <c r="E380" s="66"/>
      <c r="F380" s="62"/>
      <c r="G380" s="62"/>
    </row>
    <row r="381" spans="1:12" s="61" customFormat="1" ht="39.75" customHeight="1">
      <c r="A381" s="63"/>
      <c r="B381" s="157"/>
      <c r="C381" s="113" t="s">
        <v>91</v>
      </c>
      <c r="D381" s="65"/>
      <c r="E381" s="66"/>
      <c r="F381" s="62"/>
      <c r="G381" s="62"/>
    </row>
    <row r="382" spans="1:12" s="140" customFormat="1" ht="12" customHeight="1">
      <c r="A382" s="138"/>
      <c r="B382" s="139"/>
      <c r="C382" s="156"/>
      <c r="D382" s="153"/>
      <c r="E382" s="154"/>
      <c r="F382" s="149"/>
      <c r="G382" s="149"/>
    </row>
    <row r="383" spans="1:12" s="140" customFormat="1" ht="12" customHeight="1">
      <c r="A383" s="138"/>
      <c r="B383" s="139"/>
      <c r="C383" s="156"/>
      <c r="D383" s="153"/>
      <c r="E383" s="154"/>
      <c r="F383" s="149"/>
      <c r="G383" s="149"/>
    </row>
    <row r="384" spans="1:12" s="140" customFormat="1" ht="13.15">
      <c r="A384" s="159" t="s">
        <v>118</v>
      </c>
      <c r="B384" s="139"/>
      <c r="C384" s="183" t="s">
        <v>100</v>
      </c>
      <c r="D384" s="184"/>
      <c r="E384" s="185"/>
      <c r="F384" s="186"/>
      <c r="G384" s="186">
        <f>SUM(G358:G381)</f>
        <v>0</v>
      </c>
    </row>
    <row r="385" spans="1:18" ht="13.15">
      <c r="A385" s="190"/>
      <c r="B385" s="146"/>
      <c r="C385" s="134"/>
      <c r="D385" s="147"/>
      <c r="E385" s="148"/>
      <c r="F385" s="149"/>
      <c r="G385" s="149"/>
    </row>
    <row r="387" spans="1:18" s="129" customFormat="1" ht="13.15">
      <c r="A387" s="162" t="s">
        <v>119</v>
      </c>
      <c r="C387" s="911" t="s">
        <v>12</v>
      </c>
      <c r="D387" s="911"/>
      <c r="E387" s="911"/>
      <c r="F387" s="911"/>
      <c r="G387" s="911"/>
    </row>
    <row r="388" spans="1:18" s="49" customFormat="1" ht="13.15">
      <c r="A388" s="162" t="s">
        <v>120</v>
      </c>
      <c r="B388" s="191"/>
      <c r="C388" s="128" t="s">
        <v>21</v>
      </c>
      <c r="D388" s="128"/>
      <c r="E388" s="192"/>
      <c r="F388" s="193"/>
      <c r="G388" s="193"/>
    </row>
    <row r="389" spans="1:18" s="129" customFormat="1">
      <c r="A389" s="126"/>
      <c r="B389" s="127"/>
      <c r="C389" s="899" t="s">
        <v>392</v>
      </c>
      <c r="D389" s="899"/>
      <c r="E389" s="899"/>
      <c r="F389" s="899"/>
      <c r="G389" s="899"/>
    </row>
    <row r="390" spans="1:18" s="129" customFormat="1" ht="27" customHeight="1">
      <c r="A390" s="126"/>
      <c r="B390" s="127"/>
      <c r="C390" s="899" t="s">
        <v>200</v>
      </c>
      <c r="D390" s="899"/>
      <c r="E390" s="899"/>
      <c r="F390" s="899"/>
      <c r="G390" s="899"/>
    </row>
    <row r="391" spans="1:18" s="129" customFormat="1">
      <c r="A391" s="126"/>
      <c r="B391" s="127"/>
      <c r="C391" s="899" t="s">
        <v>201</v>
      </c>
      <c r="D391" s="899"/>
      <c r="E391" s="899"/>
      <c r="F391" s="899"/>
      <c r="G391" s="899"/>
    </row>
    <row r="392" spans="1:18" s="129" customFormat="1">
      <c r="A392" s="126"/>
      <c r="B392" s="127"/>
      <c r="C392" s="915" t="s">
        <v>864</v>
      </c>
      <c r="D392" s="915"/>
      <c r="E392" s="915"/>
      <c r="F392" s="915"/>
      <c r="G392" s="915"/>
      <c r="I392" s="136"/>
      <c r="J392" s="136"/>
      <c r="K392" s="136"/>
      <c r="L392" s="136"/>
      <c r="M392" s="136"/>
      <c r="N392" s="136"/>
      <c r="O392" s="136"/>
      <c r="P392" s="136"/>
      <c r="Q392" s="136"/>
      <c r="R392" s="136"/>
    </row>
    <row r="393" spans="1:18" s="129" customFormat="1">
      <c r="A393" s="126"/>
      <c r="B393" s="127"/>
      <c r="C393" s="915" t="s">
        <v>202</v>
      </c>
      <c r="D393" s="915"/>
      <c r="E393" s="915"/>
      <c r="F393" s="915"/>
      <c r="G393" s="915"/>
    </row>
    <row r="394" spans="1:18" s="129" customFormat="1">
      <c r="A394" s="126"/>
      <c r="B394" s="127"/>
      <c r="C394" s="136" t="s">
        <v>203</v>
      </c>
      <c r="D394" s="136"/>
      <c r="E394" s="194"/>
      <c r="F394" s="156"/>
      <c r="G394" s="156"/>
    </row>
    <row r="395" spans="1:18" s="129" customFormat="1" ht="27" customHeight="1">
      <c r="A395" s="126"/>
      <c r="B395" s="127"/>
      <c r="C395" s="915" t="s">
        <v>204</v>
      </c>
      <c r="D395" s="915"/>
      <c r="E395" s="915"/>
      <c r="F395" s="915"/>
      <c r="G395" s="915"/>
    </row>
    <row r="396" spans="1:18" s="129" customFormat="1">
      <c r="A396" s="126"/>
      <c r="B396" s="127"/>
      <c r="C396" s="915" t="s">
        <v>205</v>
      </c>
      <c r="D396" s="915"/>
      <c r="E396" s="915"/>
      <c r="F396" s="915"/>
      <c r="G396" s="915"/>
    </row>
    <row r="397" spans="1:18" s="129" customFormat="1">
      <c r="A397" s="126"/>
      <c r="B397" s="127"/>
      <c r="C397" s="915"/>
      <c r="D397" s="915"/>
      <c r="E397" s="915"/>
      <c r="F397" s="915"/>
      <c r="G397" s="915"/>
    </row>
    <row r="398" spans="1:18" s="129" customFormat="1">
      <c r="A398" s="126"/>
      <c r="B398" s="127"/>
      <c r="C398" s="136" t="s">
        <v>206</v>
      </c>
      <c r="D398" s="136"/>
      <c r="E398" s="194"/>
      <c r="F398" s="156"/>
      <c r="G398" s="156"/>
    </row>
    <row r="399" spans="1:18" s="129" customFormat="1" ht="27.75" customHeight="1">
      <c r="A399" s="126"/>
      <c r="B399" s="127"/>
      <c r="C399" s="915" t="s">
        <v>207</v>
      </c>
      <c r="D399" s="915"/>
      <c r="E399" s="915"/>
      <c r="F399" s="915"/>
      <c r="G399" s="915"/>
    </row>
    <row r="400" spans="1:18" s="129" customFormat="1" ht="27.75" customHeight="1">
      <c r="A400" s="126"/>
      <c r="B400" s="127"/>
      <c r="C400" s="915" t="s">
        <v>208</v>
      </c>
      <c r="D400" s="915"/>
      <c r="E400" s="915"/>
      <c r="F400" s="915"/>
      <c r="G400" s="915"/>
    </row>
    <row r="401" spans="1:17" s="129" customFormat="1" ht="28.5" customHeight="1">
      <c r="A401" s="126"/>
      <c r="B401" s="127"/>
      <c r="C401" s="915" t="s">
        <v>209</v>
      </c>
      <c r="D401" s="915"/>
      <c r="E401" s="915"/>
      <c r="F401" s="915"/>
      <c r="G401" s="915"/>
    </row>
    <row r="402" spans="1:17" s="129" customFormat="1" ht="27" customHeight="1">
      <c r="A402" s="126"/>
      <c r="B402" s="127"/>
      <c r="C402" s="915" t="s">
        <v>210</v>
      </c>
      <c r="D402" s="915"/>
      <c r="E402" s="915"/>
      <c r="F402" s="915"/>
      <c r="G402" s="915"/>
    </row>
    <row r="403" spans="1:17" s="129" customFormat="1" ht="27" customHeight="1">
      <c r="A403" s="126"/>
      <c r="B403" s="127"/>
      <c r="C403" s="915" t="s">
        <v>211</v>
      </c>
      <c r="D403" s="915"/>
      <c r="E403" s="915"/>
      <c r="F403" s="915"/>
      <c r="G403" s="915"/>
    </row>
    <row r="404" spans="1:17" s="129" customFormat="1" ht="27" customHeight="1">
      <c r="A404" s="126"/>
      <c r="B404" s="127"/>
      <c r="C404" s="915" t="s">
        <v>212</v>
      </c>
      <c r="D404" s="915"/>
      <c r="E404" s="915"/>
      <c r="F404" s="915"/>
      <c r="G404" s="915"/>
    </row>
    <row r="405" spans="1:17" s="129" customFormat="1">
      <c r="A405" s="126"/>
      <c r="B405" s="127"/>
      <c r="C405" s="915"/>
      <c r="D405" s="915"/>
      <c r="E405" s="915"/>
      <c r="F405" s="915"/>
      <c r="G405" s="915"/>
    </row>
    <row r="406" spans="1:17" s="129" customFormat="1">
      <c r="A406" s="126"/>
      <c r="B406" s="127"/>
      <c r="C406" s="915" t="s">
        <v>213</v>
      </c>
      <c r="D406" s="915"/>
      <c r="E406" s="915"/>
      <c r="F406" s="915"/>
      <c r="G406" s="915"/>
      <c r="I406" s="950"/>
      <c r="J406" s="950"/>
      <c r="K406" s="950"/>
      <c r="L406" s="950"/>
      <c r="M406" s="950"/>
      <c r="N406" s="950"/>
      <c r="O406" s="950"/>
      <c r="P406" s="950"/>
      <c r="Q406" s="950"/>
    </row>
    <row r="407" spans="1:17" s="129" customFormat="1">
      <c r="A407" s="126"/>
      <c r="B407" s="127"/>
      <c r="C407" s="915" t="s">
        <v>214</v>
      </c>
      <c r="D407" s="915"/>
      <c r="E407" s="915"/>
      <c r="F407" s="915"/>
      <c r="G407" s="915"/>
    </row>
    <row r="408" spans="1:17" s="129" customFormat="1" ht="27" customHeight="1">
      <c r="A408" s="126"/>
      <c r="B408" s="127"/>
      <c r="C408" s="915" t="s">
        <v>215</v>
      </c>
      <c r="D408" s="915"/>
      <c r="E408" s="915"/>
      <c r="F408" s="915"/>
      <c r="G408" s="915"/>
    </row>
    <row r="409" spans="1:17" s="129" customFormat="1" ht="29.25" customHeight="1">
      <c r="A409" s="126"/>
      <c r="B409" s="127"/>
      <c r="C409" s="915" t="s">
        <v>216</v>
      </c>
      <c r="D409" s="915"/>
      <c r="E409" s="915"/>
      <c r="F409" s="915"/>
      <c r="G409" s="915"/>
    </row>
    <row r="410" spans="1:17" s="129" customFormat="1" ht="25.5" customHeight="1">
      <c r="A410" s="126"/>
      <c r="B410" s="127"/>
      <c r="C410" s="915" t="s">
        <v>217</v>
      </c>
      <c r="D410" s="915"/>
      <c r="E410" s="915"/>
      <c r="F410" s="915"/>
      <c r="G410" s="915"/>
    </row>
    <row r="411" spans="1:17" s="129" customFormat="1">
      <c r="A411" s="126"/>
      <c r="B411" s="127"/>
      <c r="C411" s="915"/>
      <c r="D411" s="915"/>
      <c r="E411" s="915"/>
      <c r="F411" s="915"/>
      <c r="G411" s="915"/>
    </row>
    <row r="412" spans="1:17" s="129" customFormat="1">
      <c r="A412" s="126"/>
      <c r="B412" s="127"/>
      <c r="C412" s="136" t="s">
        <v>218</v>
      </c>
      <c r="D412" s="136"/>
      <c r="E412" s="194"/>
      <c r="F412" s="195"/>
      <c r="G412" s="195"/>
      <c r="I412" s="916" t="s">
        <v>219</v>
      </c>
      <c r="J412" s="916"/>
      <c r="K412" s="916"/>
      <c r="L412" s="916"/>
      <c r="M412" s="916"/>
      <c r="N412" s="916"/>
      <c r="O412" s="916"/>
      <c r="P412" s="916"/>
      <c r="Q412" s="916"/>
    </row>
    <row r="413" spans="1:17" s="129" customFormat="1">
      <c r="A413" s="126"/>
      <c r="B413" s="127"/>
      <c r="C413" s="915" t="s">
        <v>220</v>
      </c>
      <c r="D413" s="915"/>
      <c r="E413" s="915"/>
      <c r="F413" s="915"/>
      <c r="G413" s="915"/>
      <c r="I413" s="916"/>
      <c r="J413" s="916"/>
      <c r="K413" s="916"/>
      <c r="L413" s="916"/>
      <c r="M413" s="916"/>
      <c r="N413" s="916"/>
      <c r="O413" s="916"/>
      <c r="P413" s="916"/>
      <c r="Q413" s="916"/>
    </row>
    <row r="414" spans="1:17" s="129" customFormat="1" ht="26.25" customHeight="1">
      <c r="A414" s="126"/>
      <c r="B414" s="127"/>
      <c r="C414" s="915" t="s">
        <v>221</v>
      </c>
      <c r="D414" s="915"/>
      <c r="E414" s="915"/>
      <c r="F414" s="915"/>
      <c r="G414" s="915"/>
      <c r="I414" s="916"/>
      <c r="J414" s="916"/>
      <c r="K414" s="916"/>
      <c r="L414" s="916"/>
      <c r="M414" s="916"/>
      <c r="N414" s="916"/>
      <c r="O414" s="916"/>
      <c r="P414" s="916"/>
      <c r="Q414" s="916"/>
    </row>
    <row r="415" spans="1:17" s="129" customFormat="1" ht="27.75" customHeight="1">
      <c r="A415" s="126"/>
      <c r="B415" s="127"/>
      <c r="C415" s="915" t="s">
        <v>222</v>
      </c>
      <c r="D415" s="915"/>
      <c r="E415" s="915"/>
      <c r="F415" s="915"/>
      <c r="G415" s="915"/>
      <c r="I415" s="916"/>
      <c r="J415" s="916"/>
      <c r="K415" s="916"/>
      <c r="L415" s="916"/>
      <c r="M415" s="916"/>
      <c r="N415" s="916"/>
      <c r="O415" s="916"/>
      <c r="P415" s="916"/>
      <c r="Q415" s="916"/>
    </row>
    <row r="416" spans="1:17" s="129" customFormat="1">
      <c r="A416" s="126"/>
      <c r="B416" s="127"/>
      <c r="C416" s="915" t="s">
        <v>223</v>
      </c>
      <c r="D416" s="915"/>
      <c r="E416" s="915"/>
      <c r="F416" s="915"/>
      <c r="G416" s="915"/>
      <c r="I416" s="916"/>
      <c r="J416" s="916"/>
      <c r="K416" s="916"/>
      <c r="L416" s="916"/>
      <c r="M416" s="916"/>
      <c r="N416" s="916"/>
      <c r="O416" s="916"/>
      <c r="P416" s="916"/>
      <c r="Q416" s="916"/>
    </row>
    <row r="417" spans="1:17" s="129" customFormat="1" ht="27.75" customHeight="1">
      <c r="A417" s="126"/>
      <c r="B417" s="127"/>
      <c r="C417" s="915" t="s">
        <v>224</v>
      </c>
      <c r="D417" s="915"/>
      <c r="E417" s="915"/>
      <c r="F417" s="915"/>
      <c r="G417" s="915"/>
      <c r="I417" s="916"/>
      <c r="J417" s="916"/>
      <c r="K417" s="916"/>
      <c r="L417" s="916"/>
      <c r="M417" s="916"/>
      <c r="N417" s="916"/>
      <c r="O417" s="916"/>
      <c r="P417" s="916"/>
      <c r="Q417" s="916"/>
    </row>
    <row r="418" spans="1:17" s="21" customFormat="1">
      <c r="A418" s="121"/>
      <c r="B418" s="122"/>
      <c r="C418" s="134"/>
      <c r="D418" s="134"/>
      <c r="E418" s="197"/>
      <c r="F418" s="195"/>
      <c r="G418" s="195"/>
      <c r="I418" s="916"/>
      <c r="J418" s="916"/>
      <c r="K418" s="916"/>
      <c r="L418" s="916"/>
      <c r="M418" s="916"/>
      <c r="N418" s="916"/>
      <c r="O418" s="916"/>
      <c r="P418" s="916"/>
      <c r="Q418" s="916"/>
    </row>
    <row r="419" spans="1:17" s="129" customFormat="1">
      <c r="A419" s="126"/>
      <c r="B419" s="127"/>
      <c r="C419" s="136" t="s">
        <v>828</v>
      </c>
      <c r="D419" s="136"/>
      <c r="E419" s="194"/>
      <c r="F419" s="195"/>
      <c r="G419" s="195"/>
      <c r="I419" s="916"/>
      <c r="J419" s="916"/>
      <c r="K419" s="916"/>
      <c r="L419" s="916"/>
      <c r="M419" s="916"/>
      <c r="N419" s="916"/>
      <c r="O419" s="916"/>
      <c r="P419" s="916"/>
      <c r="Q419" s="916"/>
    </row>
    <row r="420" spans="1:17" s="129" customFormat="1" ht="40.5" customHeight="1">
      <c r="A420" s="126"/>
      <c r="B420" s="127"/>
      <c r="C420" s="915" t="s">
        <v>225</v>
      </c>
      <c r="D420" s="915"/>
      <c r="E420" s="915"/>
      <c r="F420" s="915"/>
      <c r="G420" s="915"/>
      <c r="I420" s="916"/>
      <c r="J420" s="916"/>
      <c r="K420" s="916"/>
      <c r="L420" s="916"/>
      <c r="M420" s="916"/>
      <c r="N420" s="916"/>
      <c r="O420" s="916"/>
      <c r="P420" s="916"/>
      <c r="Q420" s="916"/>
    </row>
    <row r="421" spans="1:17" s="129" customFormat="1" ht="26.25" customHeight="1">
      <c r="A421" s="126"/>
      <c r="B421" s="127"/>
      <c r="C421" s="915" t="s">
        <v>226</v>
      </c>
      <c r="D421" s="915"/>
      <c r="E421" s="915"/>
      <c r="F421" s="915"/>
      <c r="G421" s="915"/>
      <c r="I421" s="916"/>
      <c r="J421" s="916"/>
      <c r="K421" s="916"/>
      <c r="L421" s="916"/>
      <c r="M421" s="916"/>
      <c r="N421" s="916"/>
      <c r="O421" s="916"/>
      <c r="P421" s="916"/>
      <c r="Q421" s="916"/>
    </row>
    <row r="422" spans="1:17" s="129" customFormat="1" ht="26.25" customHeight="1">
      <c r="A422" s="126"/>
      <c r="B422" s="127"/>
      <c r="C422" s="915" t="s">
        <v>221</v>
      </c>
      <c r="D422" s="915"/>
      <c r="E422" s="915"/>
      <c r="F422" s="915"/>
      <c r="G422" s="915"/>
      <c r="I422" s="916"/>
      <c r="J422" s="916"/>
      <c r="K422" s="916"/>
      <c r="L422" s="916"/>
      <c r="M422" s="916"/>
      <c r="N422" s="916"/>
      <c r="O422" s="916"/>
      <c r="P422" s="916"/>
      <c r="Q422" s="916"/>
    </row>
    <row r="423" spans="1:17" s="129" customFormat="1" ht="26.25" customHeight="1">
      <c r="A423" s="126"/>
      <c r="B423" s="127"/>
      <c r="C423" s="915" t="s">
        <v>227</v>
      </c>
      <c r="D423" s="915"/>
      <c r="E423" s="915"/>
      <c r="F423" s="915"/>
      <c r="G423" s="915"/>
      <c r="I423" s="916"/>
      <c r="J423" s="916"/>
      <c r="K423" s="916"/>
      <c r="L423" s="916"/>
      <c r="M423" s="916"/>
      <c r="N423" s="916"/>
      <c r="O423" s="916"/>
      <c r="P423" s="916"/>
      <c r="Q423" s="916"/>
    </row>
    <row r="424" spans="1:17" s="129" customFormat="1" ht="13.5" customHeight="1">
      <c r="A424" s="126"/>
      <c r="B424" s="127"/>
      <c r="C424" s="915"/>
      <c r="D424" s="915"/>
      <c r="E424" s="915"/>
      <c r="F424" s="915"/>
      <c r="G424" s="915"/>
      <c r="I424" s="916"/>
      <c r="J424" s="916"/>
      <c r="K424" s="916"/>
      <c r="L424" s="916"/>
      <c r="M424" s="916"/>
      <c r="N424" s="916"/>
      <c r="O424" s="916"/>
      <c r="P424" s="916"/>
      <c r="Q424" s="916"/>
    </row>
    <row r="425" spans="1:17" s="129" customFormat="1" ht="13.5" customHeight="1">
      <c r="A425" s="126"/>
      <c r="B425" s="127"/>
      <c r="C425" s="915" t="s">
        <v>228</v>
      </c>
      <c r="D425" s="915"/>
      <c r="E425" s="915"/>
      <c r="F425" s="915"/>
      <c r="G425" s="915"/>
      <c r="I425" s="916"/>
      <c r="J425" s="916"/>
      <c r="K425" s="916"/>
      <c r="L425" s="916"/>
      <c r="M425" s="916"/>
      <c r="N425" s="916"/>
      <c r="O425" s="916"/>
      <c r="P425" s="916"/>
      <c r="Q425" s="916"/>
    </row>
    <row r="426" spans="1:17" s="129" customFormat="1" ht="13.5" customHeight="1">
      <c r="A426" s="126"/>
      <c r="B426" s="127"/>
      <c r="C426" s="915" t="s">
        <v>229</v>
      </c>
      <c r="D426" s="915"/>
      <c r="E426" s="915"/>
      <c r="F426" s="915"/>
      <c r="G426" s="915"/>
      <c r="I426" s="916"/>
      <c r="J426" s="916"/>
      <c r="K426" s="916"/>
      <c r="L426" s="916"/>
      <c r="M426" s="916"/>
      <c r="N426" s="916"/>
      <c r="O426" s="916"/>
      <c r="P426" s="916"/>
      <c r="Q426" s="916"/>
    </row>
    <row r="427" spans="1:17" s="129" customFormat="1" ht="27" customHeight="1">
      <c r="A427" s="126"/>
      <c r="B427" s="127"/>
      <c r="C427" s="915" t="s">
        <v>230</v>
      </c>
      <c r="D427" s="915"/>
      <c r="E427" s="915"/>
      <c r="F427" s="915"/>
      <c r="G427" s="915"/>
      <c r="I427" s="916"/>
      <c r="J427" s="916"/>
      <c r="K427" s="916"/>
      <c r="L427" s="916"/>
      <c r="M427" s="916"/>
      <c r="N427" s="916"/>
      <c r="O427" s="916"/>
      <c r="P427" s="916"/>
      <c r="Q427" s="916"/>
    </row>
    <row r="428" spans="1:17" s="129" customFormat="1" ht="27" customHeight="1">
      <c r="A428" s="126"/>
      <c r="B428" s="127"/>
      <c r="C428" s="915" t="s">
        <v>231</v>
      </c>
      <c r="D428" s="915"/>
      <c r="E428" s="915"/>
      <c r="F428" s="915"/>
      <c r="G428" s="915"/>
      <c r="I428" s="916"/>
      <c r="J428" s="916"/>
      <c r="K428" s="916"/>
      <c r="L428" s="916"/>
      <c r="M428" s="916"/>
      <c r="N428" s="916"/>
      <c r="O428" s="916"/>
      <c r="P428" s="916"/>
      <c r="Q428" s="916"/>
    </row>
    <row r="429" spans="1:17" s="129" customFormat="1" ht="27" customHeight="1">
      <c r="A429" s="126"/>
      <c r="B429" s="127"/>
      <c r="C429" s="915" t="s">
        <v>232</v>
      </c>
      <c r="D429" s="915"/>
      <c r="E429" s="915"/>
      <c r="F429" s="915"/>
      <c r="G429" s="915"/>
      <c r="I429" s="916"/>
      <c r="J429" s="916"/>
      <c r="K429" s="916"/>
      <c r="L429" s="916"/>
      <c r="M429" s="916"/>
      <c r="N429" s="916"/>
      <c r="O429" s="916"/>
      <c r="P429" s="916"/>
      <c r="Q429" s="916"/>
    </row>
    <row r="430" spans="1:17" s="129" customFormat="1" ht="27" customHeight="1">
      <c r="A430" s="126"/>
      <c r="B430" s="127"/>
      <c r="C430" s="915" t="s">
        <v>233</v>
      </c>
      <c r="D430" s="915"/>
      <c r="E430" s="915"/>
      <c r="F430" s="915"/>
      <c r="G430" s="915"/>
      <c r="I430" s="916"/>
      <c r="J430" s="916"/>
      <c r="K430" s="916"/>
      <c r="L430" s="916"/>
      <c r="M430" s="916"/>
      <c r="N430" s="916"/>
      <c r="O430" s="916"/>
      <c r="P430" s="916"/>
      <c r="Q430" s="916"/>
    </row>
    <row r="431" spans="1:17" s="129" customFormat="1" ht="25.5" customHeight="1">
      <c r="A431" s="126"/>
      <c r="B431" s="127"/>
      <c r="C431" s="915" t="s">
        <v>234</v>
      </c>
      <c r="D431" s="915"/>
      <c r="E431" s="915"/>
      <c r="F431" s="915"/>
      <c r="G431" s="915"/>
      <c r="I431" s="916"/>
      <c r="J431" s="916"/>
      <c r="K431" s="916"/>
      <c r="L431" s="916"/>
      <c r="M431" s="916"/>
      <c r="N431" s="916"/>
      <c r="O431" s="916"/>
      <c r="P431" s="916"/>
      <c r="Q431" s="916"/>
    </row>
    <row r="432" spans="1:17" s="129" customFormat="1" ht="26.25" customHeight="1">
      <c r="A432" s="126"/>
      <c r="B432" s="127"/>
      <c r="C432" s="915" t="s">
        <v>235</v>
      </c>
      <c r="D432" s="915"/>
      <c r="E432" s="915"/>
      <c r="F432" s="915"/>
      <c r="G432" s="915"/>
      <c r="I432" s="916"/>
      <c r="J432" s="916"/>
      <c r="K432" s="916"/>
      <c r="L432" s="916"/>
      <c r="M432" s="916"/>
      <c r="N432" s="916"/>
      <c r="O432" s="916"/>
      <c r="P432" s="916"/>
      <c r="Q432" s="916"/>
    </row>
    <row r="433" spans="1:17" s="129" customFormat="1" ht="27.75" customHeight="1">
      <c r="A433" s="126"/>
      <c r="B433" s="127"/>
      <c r="C433" s="915" t="s">
        <v>236</v>
      </c>
      <c r="D433" s="915"/>
      <c r="E433" s="915"/>
      <c r="F433" s="915"/>
      <c r="G433" s="915"/>
      <c r="I433" s="916"/>
      <c r="J433" s="916"/>
      <c r="K433" s="916"/>
      <c r="L433" s="916"/>
      <c r="M433" s="916"/>
      <c r="N433" s="916"/>
      <c r="O433" s="916"/>
      <c r="P433" s="916"/>
      <c r="Q433" s="916"/>
    </row>
    <row r="434" spans="1:17" s="129" customFormat="1" ht="14.25" customHeight="1">
      <c r="A434" s="126"/>
      <c r="B434" s="127"/>
      <c r="C434" s="915" t="s">
        <v>237</v>
      </c>
      <c r="D434" s="915"/>
      <c r="E434" s="915"/>
      <c r="F434" s="915"/>
      <c r="G434" s="915"/>
      <c r="I434" s="916"/>
      <c r="J434" s="916"/>
      <c r="K434" s="916"/>
      <c r="L434" s="916"/>
      <c r="M434" s="916"/>
      <c r="N434" s="916"/>
      <c r="O434" s="916"/>
      <c r="P434" s="916"/>
      <c r="Q434" s="916"/>
    </row>
    <row r="435" spans="1:17" s="129" customFormat="1">
      <c r="A435" s="126"/>
      <c r="B435" s="127"/>
      <c r="C435" s="915" t="s">
        <v>238</v>
      </c>
      <c r="D435" s="915"/>
      <c r="E435" s="915"/>
      <c r="F435" s="915"/>
      <c r="G435" s="915"/>
      <c r="I435" s="916"/>
      <c r="J435" s="916"/>
      <c r="K435" s="916"/>
      <c r="L435" s="916"/>
      <c r="M435" s="916"/>
      <c r="N435" s="916"/>
      <c r="O435" s="916"/>
      <c r="P435" s="916"/>
      <c r="Q435" s="916"/>
    </row>
    <row r="436" spans="1:17" s="129" customFormat="1">
      <c r="A436" s="126"/>
      <c r="B436" s="127"/>
      <c r="C436" s="915" t="s">
        <v>239</v>
      </c>
      <c r="D436" s="915"/>
      <c r="E436" s="915"/>
      <c r="F436" s="915"/>
      <c r="G436" s="915"/>
      <c r="I436" s="916"/>
      <c r="J436" s="916"/>
      <c r="K436" s="916"/>
      <c r="L436" s="916"/>
      <c r="M436" s="916"/>
      <c r="N436" s="916"/>
      <c r="O436" s="916"/>
      <c r="P436" s="916"/>
      <c r="Q436" s="916"/>
    </row>
    <row r="437" spans="1:17" s="129" customFormat="1" ht="12.75" customHeight="1">
      <c r="A437" s="126"/>
      <c r="B437" s="127"/>
      <c r="C437" s="915"/>
      <c r="D437" s="915"/>
      <c r="E437" s="915"/>
      <c r="F437" s="915"/>
      <c r="G437" s="915"/>
      <c r="I437" s="916"/>
      <c r="J437" s="916"/>
      <c r="K437" s="916"/>
      <c r="L437" s="916"/>
      <c r="M437" s="916"/>
      <c r="N437" s="916"/>
      <c r="O437" s="916"/>
      <c r="P437" s="916"/>
      <c r="Q437" s="916"/>
    </row>
    <row r="438" spans="1:17" s="129" customFormat="1" ht="14.25" customHeight="1">
      <c r="A438" s="126"/>
      <c r="B438" s="127"/>
      <c r="C438" s="915" t="s">
        <v>240</v>
      </c>
      <c r="D438" s="915"/>
      <c r="E438" s="915"/>
      <c r="F438" s="915"/>
      <c r="G438" s="915"/>
      <c r="I438" s="916"/>
      <c r="J438" s="916"/>
      <c r="K438" s="916"/>
      <c r="L438" s="916"/>
      <c r="M438" s="916"/>
      <c r="N438" s="916"/>
      <c r="O438" s="916"/>
      <c r="P438" s="916"/>
      <c r="Q438" s="916"/>
    </row>
    <row r="439" spans="1:17" s="129" customFormat="1" ht="12.75" customHeight="1">
      <c r="A439" s="126"/>
      <c r="B439" s="127"/>
      <c r="C439" s="915" t="s">
        <v>241</v>
      </c>
      <c r="D439" s="915"/>
      <c r="E439" s="915"/>
      <c r="F439" s="915"/>
      <c r="G439" s="915"/>
      <c r="I439" s="916"/>
      <c r="J439" s="916"/>
      <c r="K439" s="916"/>
      <c r="L439" s="916"/>
      <c r="M439" s="916"/>
      <c r="N439" s="916"/>
      <c r="O439" s="916"/>
      <c r="P439" s="916"/>
      <c r="Q439" s="916"/>
    </row>
    <row r="440" spans="1:17" s="129" customFormat="1" ht="12.75" customHeight="1">
      <c r="A440" s="126"/>
      <c r="B440" s="127"/>
      <c r="C440" s="136" t="s">
        <v>242</v>
      </c>
      <c r="D440" s="136"/>
      <c r="E440" s="194"/>
      <c r="F440" s="156"/>
      <c r="G440" s="156"/>
      <c r="I440" s="916"/>
      <c r="J440" s="916"/>
      <c r="K440" s="916"/>
      <c r="L440" s="916"/>
      <c r="M440" s="916"/>
      <c r="N440" s="916"/>
      <c r="O440" s="916"/>
      <c r="P440" s="916"/>
      <c r="Q440" s="916"/>
    </row>
    <row r="441" spans="1:17" s="129" customFormat="1" ht="12.75" customHeight="1">
      <c r="A441" s="126"/>
      <c r="B441" s="127"/>
      <c r="C441" s="136"/>
      <c r="D441" s="136"/>
      <c r="E441" s="194"/>
      <c r="F441" s="156"/>
      <c r="G441" s="156"/>
      <c r="I441" s="916"/>
      <c r="J441" s="916"/>
      <c r="K441" s="916"/>
      <c r="L441" s="916"/>
      <c r="M441" s="916"/>
      <c r="N441" s="916"/>
      <c r="O441" s="916"/>
      <c r="P441" s="916"/>
      <c r="Q441" s="916"/>
    </row>
    <row r="442" spans="1:17" s="129" customFormat="1" ht="12.75" customHeight="1">
      <c r="A442" s="126"/>
      <c r="B442" s="127"/>
      <c r="C442" s="136" t="s">
        <v>243</v>
      </c>
      <c r="D442" s="136"/>
      <c r="E442" s="194"/>
      <c r="F442" s="156"/>
      <c r="G442" s="156"/>
      <c r="I442" s="916"/>
      <c r="J442" s="916"/>
      <c r="K442" s="916"/>
      <c r="L442" s="916"/>
      <c r="M442" s="916"/>
      <c r="N442" s="916"/>
      <c r="O442" s="916"/>
      <c r="P442" s="916"/>
      <c r="Q442" s="916"/>
    </row>
    <row r="443" spans="1:17" s="129" customFormat="1" ht="12.75" customHeight="1">
      <c r="A443" s="126"/>
      <c r="B443" s="127"/>
      <c r="C443" s="915" t="s">
        <v>244</v>
      </c>
      <c r="D443" s="915"/>
      <c r="E443" s="915"/>
      <c r="F443" s="915"/>
      <c r="G443" s="915"/>
      <c r="I443" s="916"/>
      <c r="J443" s="916"/>
      <c r="K443" s="916"/>
      <c r="L443" s="916"/>
      <c r="M443" s="916"/>
      <c r="N443" s="916"/>
      <c r="O443" s="916"/>
      <c r="P443" s="916"/>
      <c r="Q443" s="916"/>
    </row>
    <row r="444" spans="1:17" s="129" customFormat="1" ht="25.5" customHeight="1">
      <c r="A444" s="126"/>
      <c r="B444" s="127"/>
      <c r="C444" s="915" t="s">
        <v>245</v>
      </c>
      <c r="D444" s="915"/>
      <c r="E444" s="915"/>
      <c r="F444" s="915"/>
      <c r="G444" s="915"/>
      <c r="I444" s="916"/>
      <c r="J444" s="916"/>
      <c r="K444" s="916"/>
      <c r="L444" s="916"/>
      <c r="M444" s="916"/>
      <c r="N444" s="916"/>
      <c r="O444" s="916"/>
      <c r="P444" s="916"/>
      <c r="Q444" s="916"/>
    </row>
    <row r="445" spans="1:17" s="129" customFormat="1" ht="27" customHeight="1">
      <c r="A445" s="126"/>
      <c r="B445" s="127"/>
      <c r="C445" s="915" t="s">
        <v>246</v>
      </c>
      <c r="D445" s="915"/>
      <c r="E445" s="915"/>
      <c r="F445" s="915"/>
      <c r="G445" s="915"/>
      <c r="I445" s="916"/>
      <c r="J445" s="916"/>
      <c r="K445" s="916"/>
      <c r="L445" s="916"/>
      <c r="M445" s="916"/>
      <c r="N445" s="916"/>
      <c r="O445" s="916"/>
      <c r="P445" s="916"/>
      <c r="Q445" s="916"/>
    </row>
    <row r="446" spans="1:17" s="129" customFormat="1" ht="27" customHeight="1">
      <c r="A446" s="126"/>
      <c r="B446" s="127"/>
      <c r="C446" s="915" t="s">
        <v>247</v>
      </c>
      <c r="D446" s="915"/>
      <c r="E446" s="915"/>
      <c r="F446" s="915"/>
      <c r="G446" s="915"/>
      <c r="I446" s="916"/>
      <c r="J446" s="916"/>
      <c r="K446" s="916"/>
      <c r="L446" s="916"/>
      <c r="M446" s="916"/>
      <c r="N446" s="916"/>
      <c r="O446" s="916"/>
      <c r="P446" s="916"/>
      <c r="Q446" s="916"/>
    </row>
    <row r="447" spans="1:17" s="129" customFormat="1" ht="25.5" customHeight="1">
      <c r="A447" s="126"/>
      <c r="B447" s="127"/>
      <c r="C447" s="915" t="s">
        <v>248</v>
      </c>
      <c r="D447" s="915"/>
      <c r="E447" s="915"/>
      <c r="F447" s="915"/>
      <c r="G447" s="915"/>
      <c r="I447" s="916"/>
      <c r="J447" s="916"/>
      <c r="K447" s="916"/>
      <c r="L447" s="916"/>
      <c r="M447" s="916"/>
      <c r="N447" s="916"/>
      <c r="O447" s="916"/>
      <c r="P447" s="916"/>
      <c r="Q447" s="916"/>
    </row>
    <row r="448" spans="1:17" s="129" customFormat="1" ht="24.75" customHeight="1">
      <c r="A448" s="126"/>
      <c r="B448" s="127"/>
      <c r="C448" s="915" t="s">
        <v>249</v>
      </c>
      <c r="D448" s="915"/>
      <c r="E448" s="915"/>
      <c r="F448" s="915"/>
      <c r="G448" s="915"/>
      <c r="I448" s="916"/>
      <c r="J448" s="916"/>
      <c r="K448" s="916"/>
      <c r="L448" s="916"/>
      <c r="M448" s="916"/>
      <c r="N448" s="916"/>
      <c r="O448" s="916"/>
      <c r="P448" s="916"/>
      <c r="Q448" s="916"/>
    </row>
    <row r="449" spans="1:17" s="129" customFormat="1" ht="25.5" customHeight="1">
      <c r="A449" s="126"/>
      <c r="B449" s="127"/>
      <c r="C449" s="915" t="s">
        <v>250</v>
      </c>
      <c r="D449" s="915"/>
      <c r="E449" s="915"/>
      <c r="F449" s="915"/>
      <c r="G449" s="915"/>
      <c r="I449" s="916"/>
      <c r="J449" s="916"/>
      <c r="K449" s="916"/>
      <c r="L449" s="916"/>
      <c r="M449" s="916"/>
      <c r="N449" s="916"/>
      <c r="O449" s="916"/>
      <c r="P449" s="916"/>
      <c r="Q449" s="916"/>
    </row>
    <row r="450" spans="1:17" s="129" customFormat="1" ht="25.5" customHeight="1">
      <c r="A450" s="126"/>
      <c r="B450" s="127"/>
      <c r="C450" s="915" t="s">
        <v>251</v>
      </c>
      <c r="D450" s="915"/>
      <c r="E450" s="915"/>
      <c r="F450" s="915"/>
      <c r="G450" s="915"/>
      <c r="I450" s="916"/>
      <c r="J450" s="916"/>
      <c r="K450" s="916"/>
      <c r="L450" s="916"/>
      <c r="M450" s="916"/>
      <c r="N450" s="916"/>
      <c r="O450" s="916"/>
      <c r="P450" s="916"/>
      <c r="Q450" s="916"/>
    </row>
    <row r="451" spans="1:17" s="129" customFormat="1" ht="25.5" customHeight="1">
      <c r="A451" s="126"/>
      <c r="B451" s="127"/>
      <c r="C451" s="915" t="s">
        <v>252</v>
      </c>
      <c r="D451" s="915"/>
      <c r="E451" s="915"/>
      <c r="F451" s="915"/>
      <c r="G451" s="915"/>
      <c r="I451" s="916"/>
      <c r="J451" s="916"/>
      <c r="K451" s="916"/>
      <c r="L451" s="916"/>
      <c r="M451" s="916"/>
      <c r="N451" s="916"/>
      <c r="O451" s="916"/>
      <c r="P451" s="916"/>
      <c r="Q451" s="916"/>
    </row>
    <row r="452" spans="1:17" s="129" customFormat="1" ht="25.5" customHeight="1">
      <c r="A452" s="126"/>
      <c r="B452" s="127"/>
      <c r="C452" s="915" t="s">
        <v>253</v>
      </c>
      <c r="D452" s="915"/>
      <c r="E452" s="915"/>
      <c r="F452" s="915"/>
      <c r="G452" s="915"/>
      <c r="I452" s="916"/>
      <c r="J452" s="916"/>
      <c r="K452" s="916"/>
      <c r="L452" s="916"/>
      <c r="M452" s="916"/>
      <c r="N452" s="916"/>
      <c r="O452" s="916"/>
      <c r="P452" s="916"/>
      <c r="Q452" s="916"/>
    </row>
    <row r="453" spans="1:17" s="129" customFormat="1" ht="25.5" customHeight="1">
      <c r="A453" s="126"/>
      <c r="B453" s="127"/>
      <c r="C453" s="915" t="s">
        <v>254</v>
      </c>
      <c r="D453" s="915"/>
      <c r="E453" s="915"/>
      <c r="F453" s="915"/>
      <c r="G453" s="915"/>
      <c r="I453" s="916"/>
      <c r="J453" s="916"/>
      <c r="K453" s="916"/>
      <c r="L453" s="916"/>
      <c r="M453" s="916"/>
      <c r="N453" s="916"/>
      <c r="O453" s="916"/>
      <c r="P453" s="916"/>
      <c r="Q453" s="916"/>
    </row>
    <row r="454" spans="1:17" s="129" customFormat="1" ht="25.5" customHeight="1">
      <c r="A454" s="126"/>
      <c r="B454" s="127"/>
      <c r="C454" s="915" t="s">
        <v>255</v>
      </c>
      <c r="D454" s="915"/>
      <c r="E454" s="915"/>
      <c r="F454" s="915"/>
      <c r="G454" s="915"/>
      <c r="I454" s="916"/>
      <c r="J454" s="916"/>
      <c r="K454" s="916"/>
      <c r="L454" s="916"/>
      <c r="M454" s="916"/>
      <c r="N454" s="916"/>
      <c r="O454" s="916"/>
      <c r="P454" s="916"/>
      <c r="Q454" s="916"/>
    </row>
    <row r="455" spans="1:17" s="129" customFormat="1" ht="28.5" customHeight="1">
      <c r="A455" s="126"/>
      <c r="B455" s="127"/>
      <c r="C455" s="915" t="s">
        <v>256</v>
      </c>
      <c r="D455" s="915"/>
      <c r="E455" s="915"/>
      <c r="F455" s="915"/>
      <c r="G455" s="915"/>
      <c r="I455" s="916"/>
      <c r="J455" s="916"/>
      <c r="K455" s="916"/>
      <c r="L455" s="916"/>
      <c r="M455" s="916"/>
      <c r="N455" s="916"/>
      <c r="O455" s="916"/>
      <c r="P455" s="916"/>
      <c r="Q455" s="916"/>
    </row>
    <row r="456" spans="1:17" s="129" customFormat="1" ht="27" customHeight="1">
      <c r="A456" s="126"/>
      <c r="B456" s="127"/>
      <c r="C456" s="915" t="s">
        <v>257</v>
      </c>
      <c r="D456" s="915"/>
      <c r="E456" s="915"/>
      <c r="F456" s="915"/>
      <c r="G456" s="915"/>
      <c r="I456" s="916"/>
      <c r="J456" s="916"/>
      <c r="K456" s="916"/>
      <c r="L456" s="916"/>
      <c r="M456" s="916"/>
      <c r="N456" s="916"/>
      <c r="O456" s="916"/>
      <c r="P456" s="916"/>
      <c r="Q456" s="916"/>
    </row>
    <row r="457" spans="1:17" s="129" customFormat="1" ht="12.75" customHeight="1">
      <c r="A457" s="126"/>
      <c r="B457" s="127"/>
      <c r="C457" s="915"/>
      <c r="D457" s="915"/>
      <c r="E457" s="915"/>
      <c r="F457" s="915"/>
      <c r="G457" s="915"/>
      <c r="I457" s="916"/>
      <c r="J457" s="916"/>
      <c r="K457" s="916"/>
      <c r="L457" s="916"/>
      <c r="M457" s="916"/>
      <c r="N457" s="916"/>
      <c r="O457" s="916"/>
      <c r="P457" s="916"/>
      <c r="Q457" s="916"/>
    </row>
    <row r="458" spans="1:17" s="129" customFormat="1" ht="69.75" customHeight="1">
      <c r="A458" s="126"/>
      <c r="B458" s="127"/>
      <c r="C458" s="899" t="s">
        <v>258</v>
      </c>
      <c r="D458" s="899"/>
      <c r="E458" s="899"/>
      <c r="F458" s="899"/>
      <c r="G458" s="899"/>
      <c r="I458" s="916"/>
      <c r="J458" s="916"/>
      <c r="K458" s="916"/>
      <c r="L458" s="916"/>
      <c r="M458" s="916"/>
      <c r="N458" s="916"/>
      <c r="O458" s="916"/>
      <c r="P458" s="916"/>
      <c r="Q458" s="916"/>
    </row>
    <row r="459" spans="1:17" s="129" customFormat="1" ht="12.75" customHeight="1">
      <c r="A459" s="126"/>
      <c r="B459" s="127"/>
      <c r="C459" s="948" t="s">
        <v>259</v>
      </c>
      <c r="D459" s="922"/>
      <c r="E459" s="922"/>
      <c r="F459" s="922"/>
      <c r="G459" s="922"/>
    </row>
    <row r="460" spans="1:17" s="129" customFormat="1" ht="39.75" customHeight="1">
      <c r="A460" s="126"/>
      <c r="B460" s="127"/>
      <c r="C460" s="948" t="s">
        <v>865</v>
      </c>
      <c r="D460" s="948"/>
      <c r="E460" s="948"/>
      <c r="F460" s="948"/>
      <c r="G460" s="948"/>
    </row>
    <row r="461" spans="1:17" s="129" customFormat="1" ht="13.5" customHeight="1">
      <c r="A461" s="126"/>
      <c r="B461" s="127"/>
      <c r="C461" s="922" t="s">
        <v>260</v>
      </c>
      <c r="D461" s="948"/>
      <c r="E461" s="948"/>
      <c r="F461" s="948"/>
      <c r="G461" s="948"/>
    </row>
    <row r="462" spans="1:17" s="129" customFormat="1" ht="12.75" customHeight="1">
      <c r="A462" s="126"/>
      <c r="B462" s="127"/>
      <c r="C462" s="922" t="s">
        <v>261</v>
      </c>
      <c r="D462" s="922"/>
      <c r="E462" s="922"/>
      <c r="F462" s="922"/>
      <c r="G462" s="922"/>
    </row>
    <row r="463" spans="1:17" s="129" customFormat="1" ht="12.75" customHeight="1">
      <c r="A463" s="126"/>
      <c r="B463" s="127"/>
      <c r="C463" s="922" t="s">
        <v>262</v>
      </c>
      <c r="D463" s="922"/>
      <c r="E463" s="922"/>
      <c r="F463" s="922"/>
      <c r="G463" s="922"/>
    </row>
    <row r="464" spans="1:17" s="129" customFormat="1" ht="12.75" customHeight="1">
      <c r="A464" s="126"/>
      <c r="B464" s="127"/>
      <c r="C464" s="922" t="s">
        <v>263</v>
      </c>
      <c r="D464" s="922"/>
      <c r="E464" s="922"/>
      <c r="F464" s="922"/>
      <c r="G464" s="922"/>
    </row>
    <row r="465" spans="1:7" s="129" customFormat="1" ht="12.75" customHeight="1">
      <c r="A465" s="126"/>
      <c r="B465" s="127"/>
      <c r="C465" s="922" t="s">
        <v>264</v>
      </c>
      <c r="D465" s="922"/>
      <c r="E465" s="922"/>
      <c r="F465" s="922"/>
      <c r="G465" s="922"/>
    </row>
    <row r="466" spans="1:7" s="129" customFormat="1" ht="12.75" customHeight="1">
      <c r="A466" s="126"/>
      <c r="B466" s="127"/>
      <c r="C466" s="922" t="s">
        <v>265</v>
      </c>
      <c r="D466" s="922"/>
      <c r="E466" s="922"/>
      <c r="F466" s="922"/>
      <c r="G466" s="922"/>
    </row>
    <row r="467" spans="1:7" s="129" customFormat="1" ht="12.75" customHeight="1">
      <c r="A467" s="126"/>
      <c r="B467" s="127"/>
      <c r="C467" s="922" t="s">
        <v>266</v>
      </c>
      <c r="D467" s="922"/>
      <c r="E467" s="922"/>
      <c r="F467" s="922"/>
      <c r="G467" s="922"/>
    </row>
    <row r="468" spans="1:7" s="129" customFormat="1" ht="26.25" customHeight="1">
      <c r="A468" s="126"/>
      <c r="B468" s="127"/>
      <c r="C468" s="922" t="s">
        <v>267</v>
      </c>
      <c r="D468" s="922"/>
      <c r="E468" s="922"/>
      <c r="F468" s="922"/>
      <c r="G468" s="922"/>
    </row>
    <row r="469" spans="1:7" s="129" customFormat="1" ht="66" customHeight="1">
      <c r="A469" s="126"/>
      <c r="B469" s="127"/>
      <c r="C469" s="922" t="s">
        <v>268</v>
      </c>
      <c r="D469" s="922"/>
      <c r="E469" s="922"/>
      <c r="F469" s="922"/>
      <c r="G469" s="922"/>
    </row>
    <row r="470" spans="1:7" s="129" customFormat="1" ht="51" customHeight="1">
      <c r="A470" s="126"/>
      <c r="B470" s="127"/>
      <c r="C470" s="922" t="s">
        <v>269</v>
      </c>
      <c r="D470" s="922"/>
      <c r="E470" s="922"/>
      <c r="F470" s="922"/>
      <c r="G470" s="922"/>
    </row>
    <row r="471" spans="1:7" s="129" customFormat="1" ht="63.75" customHeight="1">
      <c r="A471" s="126"/>
      <c r="B471" s="127"/>
      <c r="C471" s="922" t="s">
        <v>270</v>
      </c>
      <c r="D471" s="922"/>
      <c r="E471" s="922"/>
      <c r="F471" s="922"/>
      <c r="G471" s="922"/>
    </row>
    <row r="472" spans="1:7" s="129" customFormat="1" ht="66" customHeight="1">
      <c r="A472" s="126"/>
      <c r="B472" s="127"/>
      <c r="C472" s="922" t="s">
        <v>271</v>
      </c>
      <c r="D472" s="922"/>
      <c r="E472" s="922"/>
      <c r="F472" s="922"/>
      <c r="G472" s="922"/>
    </row>
    <row r="473" spans="1:7" s="129" customFormat="1" ht="13.15">
      <c r="A473" s="126"/>
      <c r="B473" s="127"/>
      <c r="C473" s="128" t="s">
        <v>272</v>
      </c>
      <c r="D473" s="163"/>
      <c r="E473" s="198"/>
      <c r="F473" s="125"/>
      <c r="G473" s="125"/>
    </row>
    <row r="474" spans="1:7" s="129" customFormat="1" ht="37.5" customHeight="1">
      <c r="A474" s="126"/>
      <c r="B474" s="127"/>
      <c r="C474" s="899" t="s">
        <v>273</v>
      </c>
      <c r="D474" s="899"/>
      <c r="E474" s="899"/>
      <c r="F474" s="899"/>
      <c r="G474" s="899"/>
    </row>
    <row r="475" spans="1:7" s="129" customFormat="1" ht="26.25" customHeight="1">
      <c r="A475" s="126"/>
      <c r="B475" s="127"/>
      <c r="C475" s="899" t="s">
        <v>274</v>
      </c>
      <c r="D475" s="899"/>
      <c r="E475" s="899"/>
      <c r="F475" s="899"/>
      <c r="G475" s="899"/>
    </row>
    <row r="476" spans="1:7" s="129" customFormat="1">
      <c r="A476" s="126"/>
      <c r="B476" s="127"/>
      <c r="C476" s="899" t="s">
        <v>275</v>
      </c>
      <c r="D476" s="899"/>
      <c r="E476" s="899"/>
      <c r="F476" s="899"/>
      <c r="G476" s="899"/>
    </row>
    <row r="477" spans="1:7" s="129" customFormat="1" ht="79.5" customHeight="1">
      <c r="A477" s="126"/>
      <c r="B477" s="127"/>
      <c r="C477" s="899" t="s">
        <v>276</v>
      </c>
      <c r="D477" s="899"/>
      <c r="E477" s="899"/>
      <c r="F477" s="899"/>
      <c r="G477" s="899"/>
    </row>
    <row r="478" spans="1:7" s="129" customFormat="1" ht="39.75" customHeight="1">
      <c r="A478" s="126"/>
      <c r="B478" s="127"/>
      <c r="C478" s="899" t="s">
        <v>277</v>
      </c>
      <c r="D478" s="899"/>
      <c r="E478" s="899"/>
      <c r="F478" s="899"/>
      <c r="G478" s="899"/>
    </row>
    <row r="479" spans="1:7" s="129" customFormat="1" ht="27" customHeight="1">
      <c r="A479" s="126"/>
      <c r="B479" s="127"/>
      <c r="C479" s="899" t="s">
        <v>278</v>
      </c>
      <c r="D479" s="899"/>
      <c r="E479" s="899"/>
      <c r="F479" s="899"/>
      <c r="G479" s="899"/>
    </row>
    <row r="480" spans="1:7" s="129" customFormat="1" ht="26.25" customHeight="1">
      <c r="A480" s="126"/>
      <c r="B480" s="127"/>
      <c r="C480" s="899" t="s">
        <v>279</v>
      </c>
      <c r="D480" s="899"/>
      <c r="E480" s="899"/>
      <c r="F480" s="899"/>
      <c r="G480" s="899"/>
    </row>
    <row r="481" spans="1:7" s="129" customFormat="1" ht="25.5" customHeight="1">
      <c r="A481" s="126"/>
      <c r="B481" s="127"/>
      <c r="C481" s="899" t="s">
        <v>280</v>
      </c>
      <c r="D481" s="899"/>
      <c r="E481" s="899"/>
      <c r="F481" s="899"/>
      <c r="G481" s="899"/>
    </row>
    <row r="482" spans="1:7" s="129" customFormat="1" ht="39" customHeight="1">
      <c r="A482" s="126"/>
      <c r="B482" s="127"/>
      <c r="C482" s="899" t="s">
        <v>281</v>
      </c>
      <c r="D482" s="899"/>
      <c r="E482" s="899"/>
      <c r="F482" s="899"/>
      <c r="G482" s="899"/>
    </row>
    <row r="483" spans="1:7" s="129" customFormat="1" ht="77.25" customHeight="1">
      <c r="A483" s="126"/>
      <c r="B483" s="127"/>
      <c r="C483" s="899" t="s">
        <v>282</v>
      </c>
      <c r="D483" s="899"/>
      <c r="E483" s="899"/>
      <c r="F483" s="899"/>
      <c r="G483" s="899"/>
    </row>
    <row r="484" spans="1:7" s="129" customFormat="1" ht="39.75" customHeight="1">
      <c r="A484" s="126"/>
      <c r="B484" s="127"/>
      <c r="C484" s="899" t="s">
        <v>283</v>
      </c>
      <c r="D484" s="899"/>
      <c r="E484" s="899"/>
      <c r="F484" s="899"/>
      <c r="G484" s="899"/>
    </row>
    <row r="485" spans="1:7" s="129" customFormat="1" ht="108" customHeight="1">
      <c r="A485" s="126"/>
      <c r="B485" s="127"/>
      <c r="C485" s="899" t="s">
        <v>284</v>
      </c>
      <c r="D485" s="899"/>
      <c r="E485" s="899"/>
      <c r="F485" s="899"/>
      <c r="G485" s="899"/>
    </row>
    <row r="486" spans="1:7" s="129" customFormat="1" ht="53.25" customHeight="1">
      <c r="A486" s="126"/>
      <c r="B486" s="127"/>
      <c r="C486" s="899" t="s">
        <v>285</v>
      </c>
      <c r="D486" s="899"/>
      <c r="E486" s="899"/>
      <c r="F486" s="899"/>
      <c r="G486" s="899"/>
    </row>
    <row r="487" spans="1:7" s="129" customFormat="1" ht="107.25" customHeight="1">
      <c r="A487" s="126"/>
      <c r="B487" s="127"/>
      <c r="C487" s="899" t="s">
        <v>286</v>
      </c>
      <c r="D487" s="899"/>
      <c r="E487" s="899"/>
      <c r="F487" s="899"/>
      <c r="G487" s="899"/>
    </row>
    <row r="488" spans="1:7" s="129" customFormat="1" ht="51.75" customHeight="1">
      <c r="A488" s="126"/>
      <c r="B488" s="127"/>
      <c r="C488" s="899" t="s">
        <v>287</v>
      </c>
      <c r="D488" s="899"/>
      <c r="E488" s="899"/>
      <c r="F488" s="899"/>
      <c r="G488" s="899"/>
    </row>
    <row r="489" spans="1:7" s="129" customFormat="1" ht="39" customHeight="1">
      <c r="A489" s="126"/>
      <c r="B489" s="127"/>
      <c r="C489" s="899" t="s">
        <v>288</v>
      </c>
      <c r="D489" s="899"/>
      <c r="E489" s="899"/>
      <c r="F489" s="899"/>
      <c r="G489" s="899"/>
    </row>
    <row r="490" spans="1:7" s="129" customFormat="1" ht="40.5" customHeight="1">
      <c r="A490" s="126"/>
      <c r="B490" s="127"/>
      <c r="C490" s="899" t="s">
        <v>289</v>
      </c>
      <c r="D490" s="899"/>
      <c r="E490" s="899"/>
      <c r="F490" s="899"/>
      <c r="G490" s="899"/>
    </row>
    <row r="491" spans="1:7" s="129" customFormat="1" ht="13.5" customHeight="1">
      <c r="A491" s="126"/>
      <c r="B491" s="127"/>
      <c r="C491" s="899" t="s">
        <v>290</v>
      </c>
      <c r="D491" s="899"/>
      <c r="E491" s="899"/>
      <c r="F491" s="899"/>
      <c r="G491" s="899"/>
    </row>
    <row r="492" spans="1:7" s="129" customFormat="1" ht="14.25" customHeight="1">
      <c r="A492" s="126"/>
      <c r="B492" s="127"/>
      <c r="C492" s="899" t="s">
        <v>291</v>
      </c>
      <c r="D492" s="899"/>
      <c r="E492" s="899"/>
      <c r="F492" s="899"/>
      <c r="G492" s="899"/>
    </row>
    <row r="493" spans="1:7" s="129" customFormat="1" ht="14.25" customHeight="1">
      <c r="A493" s="126"/>
      <c r="B493" s="127"/>
      <c r="C493" s="899" t="s">
        <v>292</v>
      </c>
      <c r="D493" s="899"/>
      <c r="E493" s="899"/>
      <c r="F493" s="899"/>
      <c r="G493" s="899"/>
    </row>
    <row r="494" spans="1:7" s="129" customFormat="1" ht="14.25" customHeight="1">
      <c r="A494" s="126"/>
      <c r="B494" s="127"/>
      <c r="C494" s="899" t="s">
        <v>293</v>
      </c>
      <c r="D494" s="899"/>
      <c r="E494" s="899"/>
      <c r="F494" s="899"/>
      <c r="G494" s="899"/>
    </row>
    <row r="495" spans="1:7" s="129" customFormat="1" ht="14.25" customHeight="1">
      <c r="A495" s="126"/>
      <c r="B495" s="127"/>
      <c r="C495" s="899" t="s">
        <v>294</v>
      </c>
      <c r="D495" s="899"/>
      <c r="E495" s="899"/>
      <c r="F495" s="899"/>
      <c r="G495" s="899"/>
    </row>
    <row r="496" spans="1:7" s="129" customFormat="1" ht="39.75" customHeight="1">
      <c r="A496" s="126"/>
      <c r="B496" s="127"/>
      <c r="C496" s="899" t="s">
        <v>295</v>
      </c>
      <c r="D496" s="899"/>
      <c r="E496" s="899"/>
      <c r="F496" s="899"/>
      <c r="G496" s="899"/>
    </row>
    <row r="497" spans="1:7" s="129" customFormat="1" ht="14.25" customHeight="1">
      <c r="A497" s="126"/>
      <c r="B497" s="127"/>
      <c r="C497" s="128" t="s">
        <v>296</v>
      </c>
      <c r="D497" s="163"/>
      <c r="E497" s="198"/>
      <c r="F497" s="125"/>
      <c r="G497" s="125"/>
    </row>
    <row r="498" spans="1:7" s="129" customFormat="1" ht="38.25" customHeight="1">
      <c r="A498" s="126"/>
      <c r="B498" s="127"/>
      <c r="C498" s="922" t="s">
        <v>297</v>
      </c>
      <c r="D498" s="922"/>
      <c r="E498" s="922"/>
      <c r="F498" s="922"/>
      <c r="G498" s="922"/>
    </row>
    <row r="499" spans="1:7" s="129" customFormat="1" ht="53.25" customHeight="1">
      <c r="A499" s="126"/>
      <c r="B499" s="127"/>
      <c r="C499" s="949" t="s">
        <v>298</v>
      </c>
      <c r="D499" s="949"/>
      <c r="E499" s="949"/>
      <c r="F499" s="949"/>
      <c r="G499" s="949"/>
    </row>
    <row r="500" spans="1:7" s="129" customFormat="1" ht="28.5" customHeight="1">
      <c r="A500" s="126"/>
      <c r="B500" s="127"/>
      <c r="C500" s="899" t="s">
        <v>829</v>
      </c>
      <c r="D500" s="899"/>
      <c r="E500" s="899"/>
      <c r="F500" s="899"/>
      <c r="G500" s="899"/>
    </row>
    <row r="501" spans="1:7" s="129" customFormat="1" ht="26.25" customHeight="1">
      <c r="A501" s="126"/>
      <c r="B501" s="127"/>
      <c r="C501" s="899" t="s">
        <v>299</v>
      </c>
      <c r="D501" s="899"/>
      <c r="E501" s="899"/>
      <c r="F501" s="899"/>
      <c r="G501" s="899"/>
    </row>
    <row r="502" spans="1:7" s="129" customFormat="1" ht="39.75" customHeight="1">
      <c r="A502" s="126"/>
      <c r="B502" s="127"/>
      <c r="C502" s="922" t="s">
        <v>300</v>
      </c>
      <c r="D502" s="922"/>
      <c r="E502" s="922"/>
      <c r="F502" s="922"/>
      <c r="G502" s="922"/>
    </row>
    <row r="503" spans="1:7" s="129" customFormat="1" ht="14.25" customHeight="1">
      <c r="A503" s="126"/>
      <c r="B503" s="127"/>
      <c r="C503" s="922" t="s">
        <v>301</v>
      </c>
      <c r="D503" s="922"/>
      <c r="E503" s="922"/>
      <c r="F503" s="922"/>
      <c r="G503" s="922"/>
    </row>
    <row r="504" spans="1:7" s="129" customFormat="1" ht="14.25" customHeight="1">
      <c r="A504" s="126"/>
      <c r="B504" s="127"/>
      <c r="C504" s="922" t="s">
        <v>302</v>
      </c>
      <c r="D504" s="922"/>
      <c r="E504" s="922"/>
      <c r="F504" s="922"/>
      <c r="G504" s="922"/>
    </row>
    <row r="505" spans="1:7" s="129" customFormat="1" ht="14.25" customHeight="1">
      <c r="A505" s="126"/>
      <c r="B505" s="127"/>
      <c r="C505" s="922" t="s">
        <v>303</v>
      </c>
      <c r="D505" s="922"/>
      <c r="E505" s="922"/>
      <c r="F505" s="922"/>
      <c r="G505" s="922"/>
    </row>
    <row r="506" spans="1:7" s="129" customFormat="1" ht="14.25" customHeight="1">
      <c r="A506" s="126"/>
      <c r="B506" s="127"/>
      <c r="C506" s="922" t="s">
        <v>304</v>
      </c>
      <c r="D506" s="922"/>
      <c r="E506" s="922"/>
      <c r="F506" s="922"/>
      <c r="G506" s="922"/>
    </row>
    <row r="507" spans="1:7" s="129" customFormat="1" ht="14.25" customHeight="1">
      <c r="A507" s="126"/>
      <c r="B507" s="127"/>
      <c r="C507" s="922" t="s">
        <v>305</v>
      </c>
      <c r="D507" s="922"/>
      <c r="E507" s="922"/>
      <c r="F507" s="922"/>
      <c r="G507" s="922"/>
    </row>
    <row r="508" spans="1:7" s="129" customFormat="1" ht="69" customHeight="1">
      <c r="A508" s="126"/>
      <c r="B508" s="127"/>
      <c r="C508" s="922" t="s">
        <v>306</v>
      </c>
      <c r="D508" s="922"/>
      <c r="E508" s="922"/>
      <c r="F508" s="922"/>
      <c r="G508" s="922"/>
    </row>
    <row r="509" spans="1:7" s="129" customFormat="1" ht="80.25" customHeight="1">
      <c r="A509" s="126"/>
      <c r="B509" s="127"/>
      <c r="C509" s="922" t="s">
        <v>307</v>
      </c>
      <c r="D509" s="922"/>
      <c r="E509" s="922"/>
      <c r="F509" s="922"/>
      <c r="G509" s="922"/>
    </row>
    <row r="510" spans="1:7" s="129" customFormat="1" ht="38.25" customHeight="1">
      <c r="A510" s="126"/>
      <c r="B510" s="127"/>
      <c r="C510" s="922" t="s">
        <v>308</v>
      </c>
      <c r="D510" s="922"/>
      <c r="E510" s="922"/>
      <c r="F510" s="922"/>
      <c r="G510" s="922"/>
    </row>
    <row r="511" spans="1:7" s="129" customFormat="1" ht="78" customHeight="1">
      <c r="A511" s="126"/>
      <c r="B511" s="127"/>
      <c r="C511" s="922" t="s">
        <v>309</v>
      </c>
      <c r="D511" s="922"/>
      <c r="E511" s="922"/>
      <c r="F511" s="922"/>
      <c r="G511" s="922"/>
    </row>
    <row r="512" spans="1:7" s="129" customFormat="1" ht="39.75" customHeight="1">
      <c r="A512" s="126"/>
      <c r="B512" s="127"/>
      <c r="C512" s="922" t="s">
        <v>310</v>
      </c>
      <c r="D512" s="922"/>
      <c r="E512" s="922"/>
      <c r="F512" s="922"/>
      <c r="G512" s="922"/>
    </row>
    <row r="513" spans="1:7" s="129" customFormat="1" ht="78" customHeight="1">
      <c r="A513" s="126"/>
      <c r="B513" s="127"/>
      <c r="C513" s="922" t="s">
        <v>311</v>
      </c>
      <c r="D513" s="922"/>
      <c r="E513" s="922"/>
      <c r="F513" s="922"/>
      <c r="G513" s="922"/>
    </row>
    <row r="514" spans="1:7" s="129" customFormat="1" ht="13.5" customHeight="1">
      <c r="A514" s="126"/>
      <c r="B514" s="127"/>
      <c r="C514" s="163"/>
      <c r="D514" s="164"/>
      <c r="E514" s="165"/>
      <c r="F514" s="140"/>
      <c r="G514" s="140"/>
    </row>
    <row r="515" spans="1:7" s="129" customFormat="1" ht="27.75" customHeight="1">
      <c r="A515" s="126"/>
      <c r="B515" s="127"/>
      <c r="C515" s="899" t="s">
        <v>312</v>
      </c>
      <c r="D515" s="899"/>
      <c r="E515" s="899"/>
      <c r="F515" s="899"/>
      <c r="G515" s="899"/>
    </row>
    <row r="516" spans="1:7" s="129" customFormat="1">
      <c r="A516" s="126"/>
      <c r="B516" s="127" t="s">
        <v>140</v>
      </c>
      <c r="C516" s="899" t="s">
        <v>313</v>
      </c>
      <c r="D516" s="899"/>
      <c r="E516" s="899"/>
      <c r="F516" s="899"/>
      <c r="G516" s="899"/>
    </row>
    <row r="517" spans="1:7" s="129" customFormat="1">
      <c r="A517" s="126"/>
      <c r="B517" s="127" t="s">
        <v>140</v>
      </c>
      <c r="C517" s="899" t="s">
        <v>314</v>
      </c>
      <c r="D517" s="899"/>
      <c r="E517" s="899"/>
      <c r="F517" s="899"/>
      <c r="G517" s="899"/>
    </row>
    <row r="518" spans="1:7" s="129" customFormat="1" ht="25.5" customHeight="1">
      <c r="A518" s="126"/>
      <c r="B518" s="127" t="s">
        <v>140</v>
      </c>
      <c r="C518" s="899" t="s">
        <v>315</v>
      </c>
      <c r="D518" s="899"/>
      <c r="E518" s="899"/>
      <c r="F518" s="899"/>
      <c r="G518" s="899"/>
    </row>
    <row r="519" spans="1:7" s="129" customFormat="1">
      <c r="A519" s="126"/>
      <c r="B519" s="127" t="s">
        <v>140</v>
      </c>
      <c r="C519" s="899" t="s">
        <v>316</v>
      </c>
      <c r="D519" s="899"/>
      <c r="E519" s="899"/>
      <c r="F519" s="899"/>
      <c r="G519" s="899"/>
    </row>
    <row r="520" spans="1:7" s="129" customFormat="1">
      <c r="A520" s="126"/>
      <c r="B520" s="127" t="s">
        <v>140</v>
      </c>
      <c r="C520" s="899" t="s">
        <v>317</v>
      </c>
      <c r="D520" s="899"/>
      <c r="E520" s="899"/>
      <c r="F520" s="899"/>
      <c r="G520" s="899"/>
    </row>
    <row r="521" spans="1:7" s="129" customFormat="1">
      <c r="A521" s="126"/>
      <c r="B521" s="127" t="s">
        <v>140</v>
      </c>
      <c r="C521" s="899" t="s">
        <v>318</v>
      </c>
      <c r="D521" s="899"/>
      <c r="E521" s="899"/>
      <c r="F521" s="899"/>
      <c r="G521" s="899"/>
    </row>
    <row r="522" spans="1:7" s="129" customFormat="1">
      <c r="A522" s="126"/>
      <c r="B522" s="127" t="s">
        <v>140</v>
      </c>
      <c r="C522" s="899" t="s">
        <v>319</v>
      </c>
      <c r="D522" s="899"/>
      <c r="E522" s="899"/>
      <c r="F522" s="899"/>
      <c r="G522" s="899"/>
    </row>
    <row r="523" spans="1:7" s="129" customFormat="1" ht="27" customHeight="1">
      <c r="A523" s="126"/>
      <c r="B523" s="127"/>
      <c r="C523" s="899" t="s">
        <v>320</v>
      </c>
      <c r="D523" s="899"/>
      <c r="E523" s="899"/>
      <c r="F523" s="899"/>
      <c r="G523" s="899"/>
    </row>
    <row r="524" spans="1:7" s="129" customFormat="1" ht="53.25" customHeight="1">
      <c r="A524" s="126"/>
      <c r="B524" s="127"/>
      <c r="C524" s="899" t="s">
        <v>321</v>
      </c>
      <c r="D524" s="899"/>
      <c r="E524" s="899"/>
      <c r="F524" s="899"/>
      <c r="G524" s="899"/>
    </row>
    <row r="525" spans="1:7" s="21" customFormat="1">
      <c r="A525" s="121"/>
      <c r="B525" s="122"/>
      <c r="C525" s="123"/>
      <c r="D525" s="123"/>
      <c r="E525" s="124"/>
      <c r="F525" s="125"/>
      <c r="G525" s="125"/>
    </row>
    <row r="526" spans="1:7" s="26" customFormat="1" ht="13.15">
      <c r="A526" s="117"/>
      <c r="B526" s="105"/>
      <c r="C526" s="199"/>
      <c r="D526" s="199"/>
      <c r="E526" s="200"/>
      <c r="F526" s="193"/>
      <c r="G526" s="193"/>
    </row>
    <row r="527" spans="1:7" s="26" customFormat="1" ht="13.15">
      <c r="A527" s="111" t="s">
        <v>119</v>
      </c>
      <c r="B527" s="106"/>
      <c r="C527" s="942" t="s">
        <v>12</v>
      </c>
      <c r="D527" s="942"/>
      <c r="E527" s="942"/>
      <c r="F527" s="942"/>
      <c r="G527" s="942"/>
    </row>
    <row r="528" spans="1:7" s="26" customFormat="1" ht="13.15">
      <c r="A528" s="111"/>
      <c r="B528" s="112"/>
      <c r="C528" s="201"/>
      <c r="D528" s="201"/>
      <c r="E528" s="202"/>
      <c r="F528" s="201"/>
      <c r="G528" s="201"/>
    </row>
    <row r="529" spans="1:12" s="26" customFormat="1" ht="13.15">
      <c r="A529" s="111"/>
      <c r="B529" s="112"/>
      <c r="C529" s="32" t="s">
        <v>51</v>
      </c>
      <c r="D529" s="36"/>
      <c r="E529" s="203"/>
      <c r="F529" s="29"/>
      <c r="G529" s="29"/>
    </row>
    <row r="530" spans="1:12" s="26" customFormat="1" ht="105" customHeight="1">
      <c r="A530" s="111" t="s">
        <v>119</v>
      </c>
      <c r="B530" s="112">
        <v>1</v>
      </c>
      <c r="C530" s="48" t="s">
        <v>872</v>
      </c>
      <c r="D530" s="105"/>
      <c r="E530" s="215"/>
      <c r="F530" s="300"/>
      <c r="G530" s="300"/>
    </row>
    <row r="531" spans="1:12" s="26" customFormat="1" ht="13.15">
      <c r="A531" s="111"/>
      <c r="B531" s="112"/>
      <c r="C531" s="32" t="s">
        <v>48</v>
      </c>
      <c r="D531" s="112" t="s">
        <v>2</v>
      </c>
      <c r="E531" s="324">
        <v>36.619999999999997</v>
      </c>
      <c r="F531" s="403"/>
      <c r="G531" s="354">
        <f t="shared" ref="G531" si="21">E531*F531</f>
        <v>0</v>
      </c>
    </row>
    <row r="532" spans="1:12" s="26" customFormat="1" ht="13.15">
      <c r="A532" s="111"/>
      <c r="B532" s="24"/>
      <c r="C532" s="204"/>
      <c r="D532" s="50"/>
      <c r="E532" s="44"/>
      <c r="F532" s="29"/>
      <c r="G532" s="29"/>
    </row>
    <row r="533" spans="1:12" s="26" customFormat="1" ht="13.15">
      <c r="A533" s="111"/>
      <c r="B533" s="112"/>
      <c r="C533" s="32" t="s">
        <v>53</v>
      </c>
      <c r="D533" s="36"/>
      <c r="E533" s="110"/>
      <c r="F533" s="29"/>
      <c r="G533" s="29"/>
    </row>
    <row r="534" spans="1:12" s="26" customFormat="1" ht="59.25" customHeight="1">
      <c r="A534" s="111" t="s">
        <v>119</v>
      </c>
      <c r="B534" s="112">
        <v>2</v>
      </c>
      <c r="C534" s="32" t="s">
        <v>850</v>
      </c>
      <c r="D534" s="434"/>
      <c r="E534" s="324"/>
      <c r="F534" s="300"/>
      <c r="G534" s="300"/>
    </row>
    <row r="535" spans="1:12" s="26" customFormat="1" ht="13.15">
      <c r="A535" s="111"/>
      <c r="B535" s="112"/>
      <c r="C535" s="32" t="s">
        <v>849</v>
      </c>
      <c r="D535" s="112" t="s">
        <v>10</v>
      </c>
      <c r="E535" s="324">
        <v>146.47</v>
      </c>
      <c r="F535" s="403"/>
      <c r="G535" s="354">
        <f t="shared" ref="G535" si="22">E535*F535</f>
        <v>0</v>
      </c>
      <c r="I535" s="44"/>
    </row>
    <row r="536" spans="1:12" s="26" customFormat="1" ht="13.15">
      <c r="A536" s="111"/>
      <c r="B536" s="112"/>
      <c r="C536" s="204"/>
      <c r="D536" s="105"/>
      <c r="E536" s="215"/>
      <c r="F536" s="300"/>
      <c r="G536" s="300"/>
    </row>
    <row r="537" spans="1:12" ht="115.15">
      <c r="A537" s="111" t="s">
        <v>119</v>
      </c>
      <c r="B537" s="139">
        <v>3</v>
      </c>
      <c r="C537" s="205" t="s">
        <v>854</v>
      </c>
      <c r="D537" s="139"/>
      <c r="E537" s="435"/>
      <c r="F537" s="385"/>
      <c r="G537" s="385"/>
    </row>
    <row r="538" spans="1:12" ht="13.15">
      <c r="A538" s="207"/>
      <c r="B538" s="139"/>
      <c r="C538" s="208"/>
      <c r="D538" s="139" t="s">
        <v>23</v>
      </c>
      <c r="E538" s="385">
        <v>109.8</v>
      </c>
      <c r="F538" s="424"/>
      <c r="G538" s="386">
        <f t="shared" ref="G538" si="23">E538*F538</f>
        <v>0</v>
      </c>
      <c r="I538" s="916"/>
      <c r="J538" s="916"/>
      <c r="K538" s="916"/>
      <c r="L538" s="916"/>
    </row>
    <row r="539" spans="1:12" ht="25.5">
      <c r="A539" s="207"/>
      <c r="B539" s="139"/>
      <c r="C539" s="208" t="s">
        <v>853</v>
      </c>
      <c r="D539" s="139"/>
      <c r="E539" s="385"/>
      <c r="F539" s="385"/>
      <c r="G539" s="385"/>
      <c r="I539" s="134"/>
      <c r="J539" s="134"/>
      <c r="K539" s="134"/>
      <c r="L539" s="134"/>
    </row>
    <row r="540" spans="1:12" ht="13.15">
      <c r="A540" s="207"/>
      <c r="B540" s="139"/>
      <c r="C540" s="208"/>
      <c r="D540" s="139"/>
      <c r="E540" s="385"/>
      <c r="F540" s="385"/>
      <c r="G540" s="385"/>
      <c r="I540" s="134"/>
      <c r="J540" s="134"/>
      <c r="K540" s="134"/>
      <c r="L540" s="134"/>
    </row>
    <row r="541" spans="1:12" ht="51.4">
      <c r="A541" s="111" t="s">
        <v>119</v>
      </c>
      <c r="B541" s="139">
        <v>4</v>
      </c>
      <c r="C541" s="209" t="s">
        <v>1049</v>
      </c>
      <c r="D541" s="413"/>
      <c r="E541" s="399"/>
      <c r="F541" s="385"/>
      <c r="G541" s="385"/>
      <c r="I541" s="134"/>
      <c r="J541" s="134"/>
      <c r="K541" s="134"/>
      <c r="L541" s="134"/>
    </row>
    <row r="542" spans="1:12" ht="13.15">
      <c r="A542" s="211"/>
      <c r="B542" s="146"/>
      <c r="C542" s="208"/>
      <c r="D542" s="139" t="s">
        <v>23</v>
      </c>
      <c r="E542" s="385">
        <v>109.8</v>
      </c>
      <c r="F542" s="424">
        <v>9</v>
      </c>
      <c r="G542" s="386">
        <f t="shared" ref="G542" si="24">E542*F542</f>
        <v>988.19999999999993</v>
      </c>
      <c r="I542" s="134"/>
      <c r="J542" s="134"/>
      <c r="K542" s="134"/>
      <c r="L542" s="134"/>
    </row>
    <row r="543" spans="1:12" s="26" customFormat="1" ht="13.15">
      <c r="A543" s="117"/>
      <c r="B543" s="105"/>
      <c r="C543" s="204"/>
      <c r="D543" s="105"/>
      <c r="E543" s="215"/>
      <c r="F543" s="324"/>
      <c r="G543" s="324"/>
    </row>
    <row r="544" spans="1:12" s="26" customFormat="1" ht="13.15">
      <c r="A544" s="117"/>
      <c r="C544" s="32" t="s">
        <v>13</v>
      </c>
      <c r="D544" s="105"/>
      <c r="E544" s="215"/>
      <c r="F544" s="324"/>
      <c r="G544" s="324"/>
    </row>
    <row r="545" spans="1:9" s="26" customFormat="1" ht="89.65">
      <c r="A545" s="111" t="s">
        <v>119</v>
      </c>
      <c r="B545" s="112">
        <v>5</v>
      </c>
      <c r="C545" s="212" t="s">
        <v>1118</v>
      </c>
      <c r="D545" s="191"/>
      <c r="E545" s="436"/>
      <c r="F545" s="324"/>
      <c r="G545" s="324"/>
    </row>
    <row r="546" spans="1:9" s="26" customFormat="1" ht="25.5">
      <c r="A546" s="117"/>
      <c r="B546" s="105"/>
      <c r="C546" s="212" t="s">
        <v>848</v>
      </c>
      <c r="D546" s="191" t="s">
        <v>10</v>
      </c>
      <c r="E546" s="436">
        <v>191.96</v>
      </c>
      <c r="F546" s="397"/>
      <c r="G546" s="386">
        <f t="shared" ref="G546" si="25">E546*F546</f>
        <v>0</v>
      </c>
      <c r="I546" s="44"/>
    </row>
    <row r="547" spans="1:9" s="26" customFormat="1" ht="13.15">
      <c r="A547" s="117"/>
      <c r="C547" s="204"/>
      <c r="D547" s="105"/>
      <c r="E547" s="215"/>
      <c r="F547" s="324"/>
      <c r="G547" s="324"/>
    </row>
    <row r="548" spans="1:9" s="26" customFormat="1" ht="89.65">
      <c r="A548" s="111" t="s">
        <v>119</v>
      </c>
      <c r="B548" s="112">
        <v>6</v>
      </c>
      <c r="C548" s="212" t="s">
        <v>1129</v>
      </c>
      <c r="D548" s="105"/>
      <c r="E548" s="215"/>
      <c r="F548" s="324"/>
      <c r="G548" s="324"/>
    </row>
    <row r="549" spans="1:9" s="26" customFormat="1" ht="25.5">
      <c r="A549" s="117"/>
      <c r="B549" s="105"/>
      <c r="C549" s="32" t="s">
        <v>851</v>
      </c>
      <c r="D549" s="112" t="s">
        <v>10</v>
      </c>
      <c r="E549" s="324">
        <v>51.63</v>
      </c>
      <c r="F549" s="397"/>
      <c r="G549" s="386">
        <f t="shared" ref="G549" si="26">E549*F549</f>
        <v>0</v>
      </c>
      <c r="I549" s="44"/>
    </row>
    <row r="550" spans="1:9" s="26" customFormat="1" ht="13.15">
      <c r="A550" s="117"/>
      <c r="B550" s="105"/>
      <c r="C550" s="204"/>
      <c r="D550" s="105"/>
      <c r="E550" s="215"/>
      <c r="F550" s="324"/>
      <c r="G550" s="324"/>
    </row>
    <row r="551" spans="1:9" s="26" customFormat="1" ht="102.4">
      <c r="A551" s="111" t="s">
        <v>119</v>
      </c>
      <c r="B551" s="112">
        <v>7</v>
      </c>
      <c r="C551" s="212" t="s">
        <v>1130</v>
      </c>
      <c r="D551" s="105"/>
      <c r="E551" s="215"/>
      <c r="F551" s="324"/>
      <c r="G551" s="324"/>
    </row>
    <row r="552" spans="1:9" s="26" customFormat="1" ht="13.15">
      <c r="A552" s="117"/>
      <c r="B552" s="105"/>
      <c r="C552" s="32" t="s">
        <v>1953</v>
      </c>
      <c r="D552" s="112" t="s">
        <v>10</v>
      </c>
      <c r="E552" s="324">
        <v>84.15</v>
      </c>
      <c r="F552" s="397"/>
      <c r="G552" s="386">
        <f t="shared" ref="G552" si="27">E552*F552</f>
        <v>0</v>
      </c>
      <c r="I552" s="44"/>
    </row>
    <row r="553" spans="1:9" s="26" customFormat="1" ht="13.15">
      <c r="A553" s="117"/>
      <c r="B553" s="105"/>
      <c r="C553" s="32" t="s">
        <v>1954</v>
      </c>
      <c r="D553" s="112" t="s">
        <v>10</v>
      </c>
      <c r="E553" s="324">
        <v>2.2999999999999998</v>
      </c>
      <c r="F553" s="397"/>
      <c r="G553" s="386">
        <f t="shared" ref="G553" si="28">E553*F553</f>
        <v>0</v>
      </c>
      <c r="I553" s="44"/>
    </row>
    <row r="554" spans="1:9" s="26" customFormat="1" ht="25.5">
      <c r="A554" s="117"/>
      <c r="B554" s="105"/>
      <c r="C554" s="32" t="s">
        <v>1955</v>
      </c>
      <c r="D554" s="112" t="s">
        <v>10</v>
      </c>
      <c r="E554" s="324">
        <v>2.74</v>
      </c>
      <c r="F554" s="397"/>
      <c r="G554" s="386">
        <f t="shared" ref="G554" si="29">E554*F554</f>
        <v>0</v>
      </c>
    </row>
    <row r="555" spans="1:9" s="26" customFormat="1" ht="25.5">
      <c r="A555" s="117"/>
      <c r="B555" s="105"/>
      <c r="C555" s="32" t="s">
        <v>1956</v>
      </c>
      <c r="D555" s="112" t="s">
        <v>10</v>
      </c>
      <c r="E555" s="324">
        <v>1.73</v>
      </c>
      <c r="F555" s="397"/>
      <c r="G555" s="386">
        <f t="shared" ref="G555" si="30">E555*F555</f>
        <v>0</v>
      </c>
    </row>
    <row r="556" spans="1:9" s="26" customFormat="1" ht="14.25" customHeight="1">
      <c r="A556" s="117"/>
      <c r="C556" s="204"/>
      <c r="D556" s="105"/>
      <c r="E556" s="215"/>
      <c r="F556" s="324"/>
      <c r="G556" s="324"/>
    </row>
    <row r="557" spans="1:9" s="26" customFormat="1" ht="90.75" customHeight="1">
      <c r="A557" s="111" t="s">
        <v>119</v>
      </c>
      <c r="B557" s="112">
        <v>8</v>
      </c>
      <c r="C557" s="212" t="s">
        <v>1131</v>
      </c>
      <c r="D557" s="105"/>
      <c r="E557" s="215"/>
      <c r="F557" s="300"/>
      <c r="G557" s="300"/>
    </row>
    <row r="558" spans="1:9" s="26" customFormat="1" ht="13.15">
      <c r="A558" s="117"/>
      <c r="B558" s="105"/>
      <c r="C558" s="32" t="s">
        <v>852</v>
      </c>
      <c r="D558" s="112" t="s">
        <v>10</v>
      </c>
      <c r="E558" s="324">
        <v>18.98</v>
      </c>
      <c r="F558" s="403"/>
      <c r="G558" s="354">
        <f t="shared" ref="G558" si="31">E558*F558</f>
        <v>0</v>
      </c>
      <c r="I558" s="44"/>
    </row>
    <row r="559" spans="1:9" s="26" customFormat="1" ht="13.15">
      <c r="A559" s="117"/>
      <c r="B559" s="105"/>
      <c r="C559" s="32"/>
      <c r="D559" s="112"/>
      <c r="E559" s="324"/>
      <c r="F559" s="300"/>
      <c r="G559" s="300"/>
      <c r="I559" s="44"/>
    </row>
    <row r="560" spans="1:9" s="26" customFormat="1" ht="63" customHeight="1">
      <c r="A560" s="111" t="s">
        <v>119</v>
      </c>
      <c r="B560" s="112">
        <v>9</v>
      </c>
      <c r="C560" s="32" t="s">
        <v>1110</v>
      </c>
      <c r="D560" s="112"/>
      <c r="E560" s="324"/>
      <c r="F560" s="300"/>
      <c r="G560" s="300"/>
    </row>
    <row r="561" spans="1:7" s="26" customFormat="1" ht="13.15">
      <c r="A561" s="117"/>
      <c r="B561" s="24"/>
      <c r="C561" s="32"/>
      <c r="D561" s="112" t="s">
        <v>10</v>
      </c>
      <c r="E561" s="324">
        <v>6.91</v>
      </c>
      <c r="F561" s="403"/>
      <c r="G561" s="354">
        <f t="shared" ref="G561" si="32">E561*F561</f>
        <v>0</v>
      </c>
    </row>
    <row r="562" spans="1:7" s="26" customFormat="1" ht="13.15">
      <c r="A562" s="117"/>
      <c r="B562" s="24"/>
      <c r="C562" s="32"/>
      <c r="D562" s="112"/>
      <c r="E562" s="324"/>
      <c r="F562" s="300"/>
      <c r="G562" s="300"/>
    </row>
    <row r="563" spans="1:7" s="26" customFormat="1" ht="73.5" customHeight="1">
      <c r="A563" s="111" t="s">
        <v>119</v>
      </c>
      <c r="B563" s="112">
        <v>10</v>
      </c>
      <c r="C563" s="32" t="s">
        <v>1111</v>
      </c>
      <c r="D563" s="112"/>
      <c r="E563" s="324"/>
      <c r="F563" s="300"/>
      <c r="G563" s="300"/>
    </row>
    <row r="564" spans="1:7" s="26" customFormat="1" ht="13.15">
      <c r="A564" s="117"/>
      <c r="B564" s="24"/>
      <c r="C564" s="32"/>
      <c r="D564" s="112" t="s">
        <v>10</v>
      </c>
      <c r="E564" s="324">
        <v>5.46</v>
      </c>
      <c r="F564" s="403"/>
      <c r="G564" s="354">
        <f t="shared" ref="G564" si="33">E564*F564</f>
        <v>0</v>
      </c>
    </row>
    <row r="565" spans="1:7" s="26" customFormat="1" ht="13.15">
      <c r="A565" s="117"/>
      <c r="B565" s="24"/>
      <c r="C565" s="32"/>
      <c r="D565" s="112"/>
      <c r="E565" s="324"/>
      <c r="F565" s="300"/>
      <c r="G565" s="300"/>
    </row>
    <row r="566" spans="1:7" s="26" customFormat="1" ht="69" customHeight="1">
      <c r="A566" s="111" t="s">
        <v>119</v>
      </c>
      <c r="B566" s="112">
        <v>11</v>
      </c>
      <c r="C566" s="32" t="s">
        <v>1112</v>
      </c>
      <c r="D566" s="112"/>
      <c r="E566" s="324"/>
      <c r="F566" s="300"/>
      <c r="G566" s="300"/>
    </row>
    <row r="567" spans="1:7" s="26" customFormat="1" ht="13.15">
      <c r="A567" s="117"/>
      <c r="B567" s="24"/>
      <c r="C567" s="32"/>
      <c r="D567" s="112" t="s">
        <v>10</v>
      </c>
      <c r="E567" s="324">
        <v>2.0699999999999998</v>
      </c>
      <c r="F567" s="403"/>
      <c r="G567" s="354">
        <f t="shared" ref="G567" si="34">E567*F567</f>
        <v>0</v>
      </c>
    </row>
    <row r="568" spans="1:7" s="26" customFormat="1" ht="13.15">
      <c r="A568" s="117"/>
      <c r="B568" s="24"/>
      <c r="C568" s="32"/>
      <c r="D568" s="112"/>
      <c r="E568" s="324"/>
      <c r="F568" s="300"/>
      <c r="G568" s="300"/>
    </row>
    <row r="569" spans="1:7" s="26" customFormat="1" ht="71.25" customHeight="1">
      <c r="A569" s="111" t="s">
        <v>119</v>
      </c>
      <c r="B569" s="112">
        <v>12</v>
      </c>
      <c r="C569" s="32" t="s">
        <v>1113</v>
      </c>
      <c r="D569" s="112"/>
      <c r="E569" s="324"/>
      <c r="F569" s="300"/>
      <c r="G569" s="300"/>
    </row>
    <row r="570" spans="1:7" s="26" customFormat="1" ht="13.15">
      <c r="A570" s="117"/>
      <c r="B570" s="24"/>
      <c r="C570" s="32"/>
      <c r="D570" s="112" t="s">
        <v>10</v>
      </c>
      <c r="E570" s="324">
        <v>0.62</v>
      </c>
      <c r="F570" s="403"/>
      <c r="G570" s="354">
        <f t="shared" ref="G570" si="35">E570*F570</f>
        <v>0</v>
      </c>
    </row>
    <row r="571" spans="1:7" s="26" customFormat="1" ht="13.15">
      <c r="A571" s="117"/>
      <c r="B571" s="24"/>
      <c r="C571" s="32"/>
      <c r="D571" s="112"/>
      <c r="E571" s="324"/>
      <c r="F571" s="300"/>
      <c r="G571" s="300"/>
    </row>
    <row r="572" spans="1:7" s="26" customFormat="1" ht="72" customHeight="1">
      <c r="A572" s="111" t="s">
        <v>119</v>
      </c>
      <c r="B572" s="112">
        <v>13</v>
      </c>
      <c r="C572" s="32" t="s">
        <v>858</v>
      </c>
      <c r="D572" s="105"/>
      <c r="E572" s="215"/>
      <c r="F572" s="300"/>
      <c r="G572" s="300"/>
    </row>
    <row r="573" spans="1:7" s="26" customFormat="1" ht="13.15">
      <c r="A573" s="117"/>
      <c r="C573" s="204"/>
      <c r="D573" s="112" t="s">
        <v>10</v>
      </c>
      <c r="E573" s="324">
        <v>17</v>
      </c>
      <c r="F573" s="403"/>
      <c r="G573" s="354">
        <f t="shared" ref="G573" si="36">E573*F573</f>
        <v>0</v>
      </c>
    </row>
    <row r="574" spans="1:7" s="26" customFormat="1" ht="67.5" customHeight="1">
      <c r="A574" s="111" t="s">
        <v>119</v>
      </c>
      <c r="B574" s="112">
        <v>14</v>
      </c>
      <c r="C574" s="32" t="s">
        <v>906</v>
      </c>
      <c r="D574" s="105"/>
      <c r="E574" s="215"/>
      <c r="F574" s="300"/>
      <c r="G574" s="300"/>
    </row>
    <row r="575" spans="1:7" s="26" customFormat="1" ht="15" customHeight="1">
      <c r="A575" s="117"/>
      <c r="C575" s="204"/>
      <c r="D575" s="112" t="s">
        <v>10</v>
      </c>
      <c r="E575" s="324">
        <v>13.27</v>
      </c>
      <c r="F575" s="403"/>
      <c r="G575" s="354">
        <f t="shared" ref="G575" si="37">E575*F575</f>
        <v>0</v>
      </c>
    </row>
    <row r="576" spans="1:7" s="26" customFormat="1" ht="11.25" customHeight="1">
      <c r="A576" s="117"/>
      <c r="C576" s="204"/>
      <c r="D576" s="105"/>
      <c r="E576" s="215"/>
      <c r="F576" s="300"/>
      <c r="G576" s="300"/>
    </row>
    <row r="577" spans="1:9" s="26" customFormat="1" ht="13.15">
      <c r="A577" s="117"/>
      <c r="C577" s="32" t="s">
        <v>19</v>
      </c>
      <c r="D577" s="437"/>
      <c r="E577" s="323"/>
      <c r="F577" s="300"/>
      <c r="G577" s="300"/>
    </row>
    <row r="578" spans="1:9" s="26" customFormat="1" ht="102.4">
      <c r="A578" s="111" t="s">
        <v>119</v>
      </c>
      <c r="B578" s="191">
        <v>15</v>
      </c>
      <c r="C578" s="212" t="s">
        <v>857</v>
      </c>
      <c r="D578" s="105"/>
      <c r="E578" s="215"/>
      <c r="F578" s="300"/>
      <c r="G578" s="300"/>
    </row>
    <row r="579" spans="1:9" s="26" customFormat="1" ht="25.5">
      <c r="A579" s="214"/>
      <c r="B579" s="49"/>
      <c r="C579" s="212" t="s">
        <v>855</v>
      </c>
      <c r="D579" s="112" t="s">
        <v>10</v>
      </c>
      <c r="E579" s="324">
        <v>0.33</v>
      </c>
      <c r="F579" s="403"/>
      <c r="G579" s="354">
        <f t="shared" ref="G579" si="38">E579*F579</f>
        <v>0</v>
      </c>
    </row>
    <row r="580" spans="1:9" s="26" customFormat="1" ht="13.5" customHeight="1">
      <c r="A580" s="214"/>
      <c r="B580" s="49"/>
      <c r="C580" s="212"/>
      <c r="D580" s="437"/>
      <c r="E580" s="215"/>
      <c r="F580" s="300"/>
      <c r="G580" s="300"/>
      <c r="I580" s="215"/>
    </row>
    <row r="581" spans="1:9" s="26" customFormat="1" ht="102.4">
      <c r="A581" s="111" t="s">
        <v>119</v>
      </c>
      <c r="B581" s="191">
        <v>16</v>
      </c>
      <c r="C581" s="212" t="s">
        <v>859</v>
      </c>
      <c r="D581" s="437"/>
      <c r="E581" s="395"/>
      <c r="F581" s="300"/>
      <c r="G581" s="300"/>
    </row>
    <row r="582" spans="1:9" s="26" customFormat="1" ht="13.15">
      <c r="A582" s="117"/>
      <c r="C582" s="32" t="s">
        <v>856</v>
      </c>
      <c r="D582" s="112" t="s">
        <v>10</v>
      </c>
      <c r="E582" s="324">
        <v>0.15</v>
      </c>
      <c r="F582" s="403"/>
      <c r="G582" s="354">
        <f t="shared" ref="G582" si="39">E582*F582</f>
        <v>0</v>
      </c>
    </row>
    <row r="583" spans="1:9" s="26" customFormat="1" ht="13.15">
      <c r="A583" s="117"/>
      <c r="C583" s="204"/>
      <c r="D583" s="105"/>
      <c r="E583" s="215"/>
      <c r="F583" s="300"/>
      <c r="G583" s="300"/>
      <c r="I583" s="44"/>
    </row>
    <row r="584" spans="1:9" s="26" customFormat="1" ht="57.75" customHeight="1">
      <c r="A584" s="111" t="s">
        <v>119</v>
      </c>
      <c r="B584" s="191">
        <v>17</v>
      </c>
      <c r="C584" s="212" t="s">
        <v>905</v>
      </c>
      <c r="D584" s="437"/>
      <c r="E584" s="395"/>
      <c r="F584" s="300"/>
      <c r="G584" s="300"/>
    </row>
    <row r="585" spans="1:9" s="26" customFormat="1" ht="13.15">
      <c r="A585" s="117"/>
      <c r="C585" s="32" t="s">
        <v>860</v>
      </c>
      <c r="D585" s="112" t="s">
        <v>10</v>
      </c>
      <c r="E585" s="324">
        <v>8.7799999999999994</v>
      </c>
      <c r="F585" s="403"/>
      <c r="G585" s="354">
        <f t="shared" ref="G585" si="40">E585*F585</f>
        <v>0</v>
      </c>
    </row>
    <row r="586" spans="1:9" s="26" customFormat="1" ht="13.15">
      <c r="A586" s="117"/>
      <c r="C586" s="32"/>
      <c r="D586" s="112"/>
      <c r="E586" s="324"/>
      <c r="F586" s="300"/>
      <c r="G586" s="300"/>
    </row>
    <row r="587" spans="1:9" s="26" customFormat="1" ht="13.15">
      <c r="A587" s="117"/>
      <c r="C587" s="32" t="s">
        <v>14</v>
      </c>
      <c r="D587" s="105"/>
      <c r="E587" s="215"/>
      <c r="F587" s="300"/>
      <c r="G587" s="300"/>
    </row>
    <row r="588" spans="1:9" s="26" customFormat="1" ht="94.5" customHeight="1">
      <c r="A588" s="111" t="s">
        <v>119</v>
      </c>
      <c r="B588" s="112">
        <v>18</v>
      </c>
      <c r="C588" s="32" t="s">
        <v>861</v>
      </c>
      <c r="D588" s="437"/>
      <c r="E588" s="215"/>
      <c r="F588" s="300"/>
      <c r="G588" s="300"/>
    </row>
    <row r="589" spans="1:9" s="26" customFormat="1" ht="13.15">
      <c r="A589" s="117"/>
      <c r="C589" s="32" t="s">
        <v>1957</v>
      </c>
      <c r="D589" s="112" t="s">
        <v>10</v>
      </c>
      <c r="E589" s="324">
        <v>233.49</v>
      </c>
      <c r="F589" s="403"/>
      <c r="G589" s="354">
        <f t="shared" ref="G589" si="41">E589*F589</f>
        <v>0</v>
      </c>
    </row>
    <row r="590" spans="1:9" s="26" customFormat="1" ht="13.15">
      <c r="A590" s="117"/>
      <c r="C590" s="32" t="s">
        <v>1958</v>
      </c>
      <c r="D590" s="112" t="s">
        <v>10</v>
      </c>
      <c r="E590" s="324">
        <v>3.83</v>
      </c>
      <c r="F590" s="403"/>
      <c r="G590" s="354">
        <f t="shared" ref="G590" si="42">E590*F590</f>
        <v>0</v>
      </c>
    </row>
    <row r="591" spans="1:9" s="26" customFormat="1" ht="13.15">
      <c r="A591" s="117"/>
      <c r="C591" s="204"/>
      <c r="D591" s="105"/>
      <c r="E591" s="215"/>
      <c r="F591" s="300"/>
      <c r="G591" s="300"/>
      <c r="I591" s="44"/>
    </row>
    <row r="592" spans="1:9" s="26" customFormat="1" ht="76.900000000000006">
      <c r="A592" s="111" t="s">
        <v>119</v>
      </c>
      <c r="B592" s="191">
        <v>19</v>
      </c>
      <c r="C592" s="212" t="s">
        <v>1107</v>
      </c>
      <c r="D592" s="191"/>
      <c r="E592" s="436"/>
      <c r="F592" s="300"/>
      <c r="G592" s="300"/>
    </row>
    <row r="593" spans="1:12" s="26" customFormat="1" ht="13.15">
      <c r="A593" s="117"/>
      <c r="B593" s="49"/>
      <c r="C593" s="212"/>
      <c r="D593" s="191" t="s">
        <v>10</v>
      </c>
      <c r="E593" s="436">
        <v>6.75</v>
      </c>
      <c r="F593" s="403"/>
      <c r="G593" s="354">
        <f t="shared" ref="G593" si="43">E593*F593</f>
        <v>0</v>
      </c>
    </row>
    <row r="594" spans="1:12" s="26" customFormat="1" ht="13.15">
      <c r="A594" s="117"/>
      <c r="C594" s="204"/>
      <c r="D594" s="105"/>
      <c r="E594" s="215"/>
      <c r="F594" s="300"/>
      <c r="G594" s="300"/>
      <c r="I594" s="30"/>
    </row>
    <row r="595" spans="1:12" s="26" customFormat="1" ht="89.65">
      <c r="A595" s="111" t="s">
        <v>119</v>
      </c>
      <c r="B595" s="191">
        <v>20</v>
      </c>
      <c r="C595" s="212" t="s">
        <v>862</v>
      </c>
      <c r="D595" s="191"/>
      <c r="E595" s="436"/>
      <c r="F595" s="300"/>
      <c r="G595" s="300"/>
    </row>
    <row r="596" spans="1:12" s="26" customFormat="1" ht="13.15">
      <c r="A596" s="117"/>
      <c r="B596" s="49"/>
      <c r="C596" s="212"/>
      <c r="D596" s="191" t="s">
        <v>10</v>
      </c>
      <c r="E596" s="436">
        <v>3.54</v>
      </c>
      <c r="F596" s="403"/>
      <c r="G596" s="354">
        <f t="shared" ref="G596" si="44">E596*F596</f>
        <v>0</v>
      </c>
    </row>
    <row r="597" spans="1:12" s="26" customFormat="1" ht="13.15">
      <c r="A597" s="117"/>
      <c r="B597" s="105"/>
      <c r="C597" s="204"/>
      <c r="D597" s="105"/>
      <c r="E597" s="323"/>
      <c r="F597" s="300"/>
      <c r="G597" s="300"/>
    </row>
    <row r="598" spans="1:12" s="26" customFormat="1" ht="64.150000000000006">
      <c r="A598" s="111" t="s">
        <v>119</v>
      </c>
      <c r="B598" s="191">
        <v>21</v>
      </c>
      <c r="C598" s="212" t="s">
        <v>863</v>
      </c>
      <c r="D598" s="191"/>
      <c r="E598" s="436"/>
      <c r="F598" s="300"/>
      <c r="G598" s="300"/>
    </row>
    <row r="599" spans="1:12" s="26" customFormat="1" ht="13.15">
      <c r="A599" s="117"/>
      <c r="B599" s="49"/>
      <c r="C599" s="212"/>
      <c r="D599" s="191" t="s">
        <v>10</v>
      </c>
      <c r="E599" s="436">
        <v>8.4</v>
      </c>
      <c r="F599" s="403"/>
      <c r="G599" s="354">
        <f t="shared" ref="G599" si="45">E599*F599</f>
        <v>0</v>
      </c>
    </row>
    <row r="600" spans="1:12" s="26" customFormat="1" ht="13.15">
      <c r="A600" s="117"/>
      <c r="B600" s="49"/>
      <c r="C600" s="212"/>
      <c r="D600" s="191"/>
      <c r="E600" s="436"/>
      <c r="F600" s="300"/>
      <c r="G600" s="300"/>
    </row>
    <row r="601" spans="1:12" s="26" customFormat="1" ht="38.25">
      <c r="A601" s="117"/>
      <c r="B601" s="105"/>
      <c r="C601" s="32" t="s">
        <v>866</v>
      </c>
      <c r="D601" s="105"/>
      <c r="E601" s="215"/>
      <c r="F601" s="300"/>
      <c r="G601" s="300"/>
    </row>
    <row r="602" spans="1:12" s="26" customFormat="1" ht="13.15">
      <c r="A602" s="117"/>
      <c r="B602" s="105"/>
      <c r="C602" s="204"/>
      <c r="D602" s="105"/>
      <c r="E602" s="215"/>
      <c r="F602" s="300"/>
      <c r="G602" s="300"/>
    </row>
    <row r="603" spans="1:12" s="26" customFormat="1" ht="89.65">
      <c r="A603" s="111" t="s">
        <v>119</v>
      </c>
      <c r="B603" s="112">
        <v>22</v>
      </c>
      <c r="C603" s="32" t="s">
        <v>867</v>
      </c>
      <c r="D603" s="112"/>
      <c r="E603" s="324"/>
      <c r="F603" s="300"/>
      <c r="G603" s="300"/>
    </row>
    <row r="604" spans="1:12" s="26" customFormat="1" ht="13.15">
      <c r="A604" s="117"/>
      <c r="B604" s="112"/>
      <c r="C604" s="32" t="s">
        <v>98</v>
      </c>
      <c r="D604" s="112" t="s">
        <v>10</v>
      </c>
      <c r="E604" s="324">
        <v>7.8</v>
      </c>
      <c r="F604" s="403"/>
      <c r="G604" s="354">
        <f t="shared" ref="G604" si="46">E604*F604</f>
        <v>0</v>
      </c>
    </row>
    <row r="605" spans="1:12" s="26" customFormat="1" ht="13.15">
      <c r="A605" s="117"/>
      <c r="B605" s="105"/>
      <c r="C605" s="204"/>
      <c r="D605" s="105"/>
      <c r="E605" s="215"/>
      <c r="F605" s="300"/>
      <c r="G605" s="300"/>
    </row>
    <row r="606" spans="1:12" s="26" customFormat="1" ht="13.15">
      <c r="A606" s="117"/>
      <c r="B606" s="105"/>
      <c r="C606" s="204"/>
      <c r="D606" s="50"/>
      <c r="E606" s="44"/>
      <c r="F606" s="29"/>
      <c r="G606" s="29"/>
    </row>
    <row r="607" spans="1:12" s="26" customFormat="1" ht="13.15">
      <c r="A607" s="111" t="s">
        <v>119</v>
      </c>
      <c r="C607" s="217" t="s">
        <v>101</v>
      </c>
      <c r="D607" s="218"/>
      <c r="E607" s="362"/>
      <c r="F607" s="219"/>
      <c r="G607" s="219">
        <f>SUM(G530:G604)</f>
        <v>988.19999999999993</v>
      </c>
    </row>
    <row r="608" spans="1:12" s="26" customFormat="1" ht="13.15">
      <c r="A608" s="117"/>
      <c r="E608" s="30"/>
      <c r="F608" s="29"/>
      <c r="G608" s="29"/>
      <c r="I608" s="30"/>
      <c r="L608" s="30"/>
    </row>
    <row r="609" spans="1:7" s="26" customFormat="1" ht="13.15">
      <c r="A609" s="117"/>
      <c r="B609" s="105"/>
      <c r="C609" s="204"/>
      <c r="D609" s="50"/>
      <c r="E609" s="44"/>
      <c r="F609" s="29"/>
      <c r="G609" s="29"/>
    </row>
    <row r="610" spans="1:7" s="26" customFormat="1" ht="13.15">
      <c r="A610" s="111" t="s">
        <v>120</v>
      </c>
      <c r="B610" s="107"/>
      <c r="C610" s="33" t="s">
        <v>21</v>
      </c>
      <c r="D610" s="50"/>
      <c r="E610" s="44"/>
      <c r="F610" s="29"/>
      <c r="G610" s="29"/>
    </row>
    <row r="611" spans="1:7" s="26" customFormat="1" ht="13.15">
      <c r="A611" s="117"/>
      <c r="B611" s="105"/>
      <c r="C611" s="32"/>
      <c r="D611" s="50"/>
      <c r="E611" s="44"/>
      <c r="F611" s="29"/>
      <c r="G611" s="29"/>
    </row>
    <row r="612" spans="1:7" s="26" customFormat="1" ht="25.5">
      <c r="A612" s="117"/>
      <c r="B612" s="107"/>
      <c r="C612" s="32" t="s">
        <v>84</v>
      </c>
      <c r="D612" s="50"/>
      <c r="E612" s="44"/>
      <c r="F612" s="29"/>
      <c r="G612" s="29"/>
    </row>
    <row r="613" spans="1:7" s="26" customFormat="1" ht="10.5" customHeight="1">
      <c r="A613" s="117"/>
      <c r="B613" s="105"/>
      <c r="C613" s="32"/>
      <c r="D613" s="36"/>
      <c r="E613" s="110"/>
      <c r="F613" s="29"/>
      <c r="G613" s="29"/>
    </row>
    <row r="614" spans="1:7" s="26" customFormat="1" ht="25.5">
      <c r="A614" s="117"/>
      <c r="B614" s="105"/>
      <c r="C614" s="32" t="s">
        <v>868</v>
      </c>
      <c r="D614" s="36"/>
      <c r="E614" s="110"/>
      <c r="F614" s="29"/>
      <c r="G614" s="29"/>
    </row>
    <row r="615" spans="1:7" s="26" customFormat="1" ht="13.15">
      <c r="A615" s="117"/>
      <c r="B615" s="107"/>
      <c r="C615" s="32" t="s">
        <v>873</v>
      </c>
      <c r="D615" s="36"/>
      <c r="E615" s="110"/>
      <c r="F615" s="29"/>
      <c r="G615" s="29"/>
    </row>
    <row r="616" spans="1:7" s="26" customFormat="1" ht="13.15">
      <c r="A616" s="117"/>
      <c r="B616" s="105"/>
      <c r="C616" s="32"/>
      <c r="D616" s="36"/>
      <c r="E616" s="110"/>
      <c r="F616" s="29"/>
      <c r="G616" s="29"/>
    </row>
    <row r="617" spans="1:7" s="26" customFormat="1" ht="10.5" customHeight="1">
      <c r="A617" s="117"/>
      <c r="B617" s="105"/>
      <c r="C617" s="32"/>
      <c r="D617" s="36"/>
      <c r="E617" s="110"/>
      <c r="F617" s="29"/>
      <c r="G617" s="29"/>
    </row>
    <row r="618" spans="1:7" s="26" customFormat="1" ht="25.5">
      <c r="A618" s="117"/>
      <c r="B618" s="107"/>
      <c r="C618" s="32" t="s">
        <v>85</v>
      </c>
      <c r="D618" s="36"/>
      <c r="E618" s="110"/>
      <c r="F618" s="29"/>
      <c r="G618" s="29"/>
    </row>
    <row r="619" spans="1:7" s="26" customFormat="1" ht="13.15">
      <c r="A619" s="117"/>
      <c r="B619" s="105"/>
      <c r="C619" s="32"/>
      <c r="D619" s="36"/>
      <c r="E619" s="110"/>
      <c r="F619" s="29"/>
      <c r="G619" s="29"/>
    </row>
    <row r="620" spans="1:7" s="26" customFormat="1" ht="51">
      <c r="A620" s="111" t="s">
        <v>120</v>
      </c>
      <c r="B620" s="112">
        <v>1</v>
      </c>
      <c r="C620" s="43" t="s">
        <v>870</v>
      </c>
      <c r="D620" s="112"/>
      <c r="E620" s="324"/>
      <c r="F620" s="300"/>
      <c r="G620" s="300"/>
    </row>
    <row r="621" spans="1:7" s="26" customFormat="1" ht="25.5">
      <c r="A621" s="117"/>
      <c r="B621" s="105"/>
      <c r="C621" s="32" t="s">
        <v>871</v>
      </c>
      <c r="D621" s="35"/>
      <c r="E621" s="324"/>
      <c r="F621" s="300"/>
      <c r="G621" s="300"/>
    </row>
    <row r="622" spans="1:7" s="26" customFormat="1" ht="13.15">
      <c r="A622" s="117"/>
      <c r="B622" s="105"/>
      <c r="C622" s="32" t="s">
        <v>869</v>
      </c>
      <c r="D622" s="112" t="s">
        <v>22</v>
      </c>
      <c r="E622" s="324">
        <v>84.17</v>
      </c>
      <c r="F622" s="403"/>
      <c r="G622" s="354">
        <f t="shared" ref="G622" si="47">E622*F622</f>
        <v>0</v>
      </c>
    </row>
    <row r="623" spans="1:7" s="21" customFormat="1" ht="13.15">
      <c r="A623" s="117"/>
      <c r="B623" s="105"/>
      <c r="C623" s="204"/>
      <c r="D623" s="50"/>
      <c r="E623" s="44"/>
      <c r="F623" s="29"/>
      <c r="G623" s="29"/>
    </row>
    <row r="624" spans="1:7" s="21" customFormat="1" ht="13.15">
      <c r="A624" s="117"/>
      <c r="B624" s="105"/>
      <c r="C624" s="204"/>
      <c r="D624" s="50"/>
      <c r="E624" s="44"/>
      <c r="F624" s="29"/>
      <c r="G624" s="29"/>
    </row>
    <row r="625" spans="1:7" s="21" customFormat="1" ht="12.75" customHeight="1">
      <c r="A625" s="214" t="s">
        <v>120</v>
      </c>
      <c r="B625" s="191"/>
      <c r="C625" s="217" t="s">
        <v>102</v>
      </c>
      <c r="D625" s="220"/>
      <c r="E625" s="363"/>
      <c r="F625" s="219"/>
      <c r="G625" s="219">
        <f>G622</f>
        <v>0</v>
      </c>
    </row>
    <row r="626" spans="1:7" s="21" customFormat="1" ht="13.15">
      <c r="A626" s="214"/>
      <c r="B626" s="191"/>
      <c r="C626" s="212"/>
      <c r="D626" s="213"/>
      <c r="E626" s="361"/>
      <c r="F626" s="29"/>
      <c r="G626" s="29"/>
    </row>
    <row r="627" spans="1:7" s="21" customFormat="1" ht="13.15">
      <c r="A627" s="214"/>
      <c r="B627" s="191"/>
      <c r="C627" s="212"/>
      <c r="D627" s="213"/>
      <c r="E627" s="361"/>
      <c r="F627" s="29"/>
      <c r="G627" s="29"/>
    </row>
    <row r="628" spans="1:7" s="21" customFormat="1" ht="13.15">
      <c r="A628" s="214" t="s">
        <v>1127</v>
      </c>
      <c r="B628" s="127"/>
      <c r="C628" s="911" t="s">
        <v>322</v>
      </c>
      <c r="D628" s="911"/>
      <c r="E628" s="911"/>
      <c r="F628" s="911"/>
      <c r="G628" s="911"/>
    </row>
    <row r="629" spans="1:7" s="21" customFormat="1">
      <c r="A629" s="126"/>
      <c r="B629" s="127"/>
      <c r="C629" s="899" t="s">
        <v>392</v>
      </c>
      <c r="D629" s="899"/>
      <c r="E629" s="899"/>
      <c r="F629" s="899"/>
      <c r="G629" s="899"/>
    </row>
    <row r="630" spans="1:7" s="21" customFormat="1">
      <c r="A630" s="126"/>
      <c r="B630" s="127"/>
      <c r="C630" s="899" t="s">
        <v>323</v>
      </c>
      <c r="D630" s="899"/>
      <c r="E630" s="899"/>
      <c r="F630" s="899"/>
      <c r="G630" s="899"/>
    </row>
    <row r="631" spans="1:7" s="21" customFormat="1" ht="20.25" customHeight="1">
      <c r="A631" s="126"/>
      <c r="B631" s="127"/>
      <c r="C631" s="899" t="s">
        <v>201</v>
      </c>
      <c r="D631" s="899"/>
      <c r="E631" s="899"/>
      <c r="F631" s="899"/>
      <c r="G631" s="899"/>
    </row>
    <row r="632" spans="1:7" s="21" customFormat="1" ht="21" customHeight="1">
      <c r="A632" s="126"/>
      <c r="B632" s="127"/>
      <c r="C632" s="915" t="s">
        <v>874</v>
      </c>
      <c r="D632" s="915"/>
      <c r="E632" s="915"/>
      <c r="F632" s="915"/>
      <c r="G632" s="915"/>
    </row>
    <row r="633" spans="1:7" s="21" customFormat="1">
      <c r="A633" s="126"/>
      <c r="B633" s="127"/>
      <c r="C633" s="915" t="s">
        <v>202</v>
      </c>
      <c r="D633" s="915"/>
      <c r="E633" s="915"/>
      <c r="F633" s="915"/>
      <c r="G633" s="915"/>
    </row>
    <row r="634" spans="1:7" s="21" customFormat="1">
      <c r="A634" s="126"/>
      <c r="B634" s="127"/>
      <c r="C634" s="899" t="s">
        <v>324</v>
      </c>
      <c r="D634" s="899"/>
      <c r="E634" s="899"/>
      <c r="F634" s="899"/>
      <c r="G634" s="899"/>
    </row>
    <row r="635" spans="1:7" s="21" customFormat="1" ht="26.25" customHeight="1">
      <c r="A635" s="126"/>
      <c r="B635" s="127"/>
      <c r="C635" s="899" t="s">
        <v>325</v>
      </c>
      <c r="D635" s="899"/>
      <c r="E635" s="899"/>
      <c r="F635" s="899"/>
      <c r="G635" s="899"/>
    </row>
    <row r="636" spans="1:7" s="21" customFormat="1" ht="37.5" customHeight="1">
      <c r="A636" s="126"/>
      <c r="B636" s="127"/>
      <c r="C636" s="899" t="s">
        <v>326</v>
      </c>
      <c r="D636" s="899"/>
      <c r="E636" s="899"/>
      <c r="F636" s="899"/>
      <c r="G636" s="899"/>
    </row>
    <row r="637" spans="1:7" s="21" customFormat="1" ht="24.75" customHeight="1">
      <c r="A637" s="126"/>
      <c r="B637" s="127"/>
      <c r="C637" s="899" t="s">
        <v>327</v>
      </c>
      <c r="D637" s="899"/>
      <c r="E637" s="899"/>
      <c r="F637" s="899"/>
      <c r="G637" s="899"/>
    </row>
    <row r="638" spans="1:7" s="21" customFormat="1" ht="41.25" customHeight="1">
      <c r="A638" s="126"/>
      <c r="B638" s="127"/>
      <c r="C638" s="899" t="s">
        <v>328</v>
      </c>
      <c r="D638" s="899"/>
      <c r="E638" s="899"/>
      <c r="F638" s="899"/>
      <c r="G638" s="899"/>
    </row>
    <row r="639" spans="1:7" s="21" customFormat="1" ht="24.75" customHeight="1">
      <c r="A639" s="126"/>
      <c r="B639" s="127"/>
      <c r="C639" s="899" t="s">
        <v>329</v>
      </c>
      <c r="D639" s="899"/>
      <c r="E639" s="899"/>
      <c r="F639" s="899"/>
      <c r="G639" s="899"/>
    </row>
    <row r="640" spans="1:7" s="21" customFormat="1">
      <c r="A640" s="126"/>
      <c r="B640" s="127"/>
      <c r="C640" s="899"/>
      <c r="D640" s="899"/>
      <c r="E640" s="899"/>
      <c r="F640" s="899"/>
      <c r="G640" s="899"/>
    </row>
    <row r="641" spans="1:7" s="21" customFormat="1">
      <c r="A641" s="126"/>
      <c r="B641" s="127"/>
      <c r="C641" s="899" t="s">
        <v>330</v>
      </c>
      <c r="D641" s="899"/>
      <c r="E641" s="899"/>
      <c r="F641" s="899"/>
      <c r="G641" s="899"/>
    </row>
    <row r="642" spans="1:7" s="21" customFormat="1" ht="27" customHeight="1">
      <c r="A642" s="126"/>
      <c r="B642" s="127"/>
      <c r="C642" s="899" t="s">
        <v>331</v>
      </c>
      <c r="D642" s="899"/>
      <c r="E642" s="899"/>
      <c r="F642" s="899"/>
      <c r="G642" s="899"/>
    </row>
    <row r="643" spans="1:7" s="21" customFormat="1" ht="24.75" customHeight="1">
      <c r="A643" s="126"/>
      <c r="B643" s="127"/>
      <c r="C643" s="899" t="s">
        <v>332</v>
      </c>
      <c r="D643" s="899"/>
      <c r="E643" s="899"/>
      <c r="F643" s="899"/>
      <c r="G643" s="899"/>
    </row>
    <row r="644" spans="1:7" s="21" customFormat="1" ht="30" customHeight="1">
      <c r="A644" s="126"/>
      <c r="B644" s="127"/>
      <c r="C644" s="899" t="s">
        <v>333</v>
      </c>
      <c r="D644" s="899"/>
      <c r="E644" s="899"/>
      <c r="F644" s="899"/>
      <c r="G644" s="899"/>
    </row>
    <row r="645" spans="1:7" s="21" customFormat="1">
      <c r="A645" s="126"/>
      <c r="B645" s="127"/>
      <c r="C645" s="899" t="s">
        <v>334</v>
      </c>
      <c r="D645" s="899"/>
      <c r="E645" s="899"/>
      <c r="F645" s="899"/>
      <c r="G645" s="899"/>
    </row>
    <row r="646" spans="1:7" s="21" customFormat="1" ht="27" customHeight="1">
      <c r="A646" s="126"/>
      <c r="B646" s="127"/>
      <c r="C646" s="899" t="s">
        <v>335</v>
      </c>
      <c r="D646" s="899"/>
      <c r="E646" s="899"/>
      <c r="F646" s="899"/>
      <c r="G646" s="899"/>
    </row>
    <row r="647" spans="1:7" s="21" customFormat="1" ht="13.5" customHeight="1">
      <c r="A647" s="126"/>
      <c r="B647" s="127"/>
      <c r="C647" s="899"/>
      <c r="D647" s="899"/>
      <c r="E647" s="899"/>
      <c r="F647" s="899"/>
      <c r="G647" s="899"/>
    </row>
    <row r="648" spans="1:7" s="21" customFormat="1" ht="18" customHeight="1">
      <c r="A648" s="126"/>
      <c r="B648" s="127"/>
      <c r="C648" s="899" t="s">
        <v>336</v>
      </c>
      <c r="D648" s="899"/>
      <c r="E648" s="899"/>
      <c r="F648" s="899"/>
      <c r="G648" s="899"/>
    </row>
    <row r="649" spans="1:7" s="21" customFormat="1" ht="26.25" customHeight="1">
      <c r="A649" s="126"/>
      <c r="B649" s="127"/>
      <c r="C649" s="899" t="s">
        <v>337</v>
      </c>
      <c r="D649" s="899"/>
      <c r="E649" s="899"/>
      <c r="F649" s="899"/>
      <c r="G649" s="899"/>
    </row>
    <row r="650" spans="1:7" s="21" customFormat="1" ht="30" customHeight="1">
      <c r="A650" s="126"/>
      <c r="B650" s="127"/>
      <c r="C650" s="899" t="s">
        <v>338</v>
      </c>
      <c r="D650" s="899"/>
      <c r="E650" s="899"/>
      <c r="F650" s="899"/>
      <c r="G650" s="899"/>
    </row>
    <row r="651" spans="1:7" s="21" customFormat="1" ht="12" customHeight="1">
      <c r="A651" s="126"/>
      <c r="B651" s="127"/>
      <c r="C651" s="899"/>
      <c r="D651" s="899"/>
      <c r="E651" s="899"/>
      <c r="F651" s="899"/>
      <c r="G651" s="899"/>
    </row>
    <row r="652" spans="1:7" s="21" customFormat="1" ht="27" customHeight="1">
      <c r="A652" s="126"/>
      <c r="B652" s="127"/>
      <c r="C652" s="899" t="s">
        <v>339</v>
      </c>
      <c r="D652" s="899"/>
      <c r="E652" s="899"/>
      <c r="F652" s="899"/>
      <c r="G652" s="899"/>
    </row>
    <row r="653" spans="1:7" s="21" customFormat="1" ht="25.5" customHeight="1">
      <c r="A653" s="126"/>
      <c r="B653" s="127"/>
      <c r="C653" s="899" t="s">
        <v>340</v>
      </c>
      <c r="D653" s="899"/>
      <c r="E653" s="899"/>
      <c r="F653" s="899"/>
      <c r="G653" s="899"/>
    </row>
    <row r="654" spans="1:7" s="21" customFormat="1" ht="27.75" customHeight="1">
      <c r="A654" s="126"/>
      <c r="B654" s="127"/>
      <c r="C654" s="899" t="s">
        <v>341</v>
      </c>
      <c r="D654" s="899"/>
      <c r="E654" s="899"/>
      <c r="F654" s="899"/>
      <c r="G654" s="899"/>
    </row>
    <row r="655" spans="1:7" s="21" customFormat="1" ht="31.5" customHeight="1">
      <c r="A655" s="126"/>
      <c r="B655" s="127"/>
      <c r="C655" s="899" t="s">
        <v>342</v>
      </c>
      <c r="D655" s="899"/>
      <c r="E655" s="899"/>
      <c r="F655" s="899"/>
      <c r="G655" s="899"/>
    </row>
    <row r="656" spans="1:7" s="21" customFormat="1" ht="26.25" customHeight="1">
      <c r="A656" s="126"/>
      <c r="B656" s="127"/>
      <c r="C656" s="899" t="s">
        <v>343</v>
      </c>
      <c r="D656" s="899"/>
      <c r="E656" s="899"/>
      <c r="F656" s="899"/>
      <c r="G656" s="899"/>
    </row>
    <row r="657" spans="1:18" s="21" customFormat="1" ht="44.25" customHeight="1">
      <c r="A657" s="126"/>
      <c r="B657" s="127"/>
      <c r="C657" s="899" t="s">
        <v>344</v>
      </c>
      <c r="D657" s="899"/>
      <c r="E657" s="899"/>
      <c r="F657" s="899"/>
      <c r="G657" s="899"/>
    </row>
    <row r="658" spans="1:18" s="21" customFormat="1" ht="26.25" customHeight="1">
      <c r="A658" s="126"/>
      <c r="B658" s="127"/>
      <c r="C658" s="899" t="s">
        <v>345</v>
      </c>
      <c r="D658" s="899"/>
      <c r="E658" s="899"/>
      <c r="F658" s="899"/>
      <c r="G658" s="899"/>
    </row>
    <row r="659" spans="1:18" s="21" customFormat="1" ht="21" customHeight="1">
      <c r="A659" s="126"/>
      <c r="B659" s="127"/>
      <c r="C659" s="899" t="s">
        <v>346</v>
      </c>
      <c r="D659" s="899"/>
      <c r="E659" s="899"/>
      <c r="F659" s="899"/>
      <c r="G659" s="899"/>
    </row>
    <row r="660" spans="1:18" s="21" customFormat="1" ht="26.25" customHeight="1">
      <c r="A660" s="126"/>
      <c r="B660" s="127"/>
      <c r="C660" s="899" t="s">
        <v>347</v>
      </c>
      <c r="D660" s="899"/>
      <c r="E660" s="899"/>
      <c r="F660" s="899"/>
      <c r="G660" s="899"/>
    </row>
    <row r="661" spans="1:18" s="21" customFormat="1">
      <c r="A661" s="126"/>
      <c r="B661" s="127"/>
      <c r="C661" s="899"/>
      <c r="D661" s="899"/>
      <c r="E661" s="899"/>
      <c r="F661" s="899"/>
      <c r="G661" s="899"/>
    </row>
    <row r="662" spans="1:18" s="21" customFormat="1">
      <c r="A662" s="126"/>
      <c r="B662" s="127"/>
      <c r="C662" s="899" t="s">
        <v>348</v>
      </c>
      <c r="D662" s="899"/>
      <c r="E662" s="899"/>
      <c r="F662" s="899"/>
      <c r="G662" s="899"/>
    </row>
    <row r="663" spans="1:18" s="21" customFormat="1" ht="24.75" customHeight="1">
      <c r="A663" s="126"/>
      <c r="B663" s="127"/>
      <c r="C663" s="899" t="s">
        <v>349</v>
      </c>
      <c r="D663" s="899"/>
      <c r="E663" s="899"/>
      <c r="F663" s="899"/>
      <c r="G663" s="899"/>
    </row>
    <row r="664" spans="1:18" s="21" customFormat="1" ht="25.5" customHeight="1">
      <c r="A664" s="126"/>
      <c r="B664" s="127"/>
      <c r="C664" s="899" t="s">
        <v>350</v>
      </c>
      <c r="D664" s="899"/>
      <c r="E664" s="899"/>
      <c r="F664" s="899"/>
      <c r="G664" s="899"/>
    </row>
    <row r="665" spans="1:18" s="21" customFormat="1" ht="26.25" customHeight="1">
      <c r="A665" s="126"/>
      <c r="B665" s="127"/>
      <c r="C665" s="899" t="s">
        <v>351</v>
      </c>
      <c r="D665" s="899"/>
      <c r="E665" s="899"/>
      <c r="F665" s="899"/>
      <c r="G665" s="899"/>
    </row>
    <row r="666" spans="1:18" s="21" customFormat="1" ht="25.5" customHeight="1">
      <c r="A666" s="126"/>
      <c r="B666" s="127"/>
      <c r="C666" s="899" t="s">
        <v>352</v>
      </c>
      <c r="D666" s="899"/>
      <c r="E666" s="899"/>
      <c r="F666" s="899"/>
      <c r="G666" s="899"/>
    </row>
    <row r="667" spans="1:18" s="21" customFormat="1" ht="27.75" customHeight="1">
      <c r="A667" s="126"/>
      <c r="B667" s="127"/>
      <c r="C667" s="945" t="s">
        <v>353</v>
      </c>
      <c r="D667" s="945"/>
      <c r="E667" s="945"/>
      <c r="F667" s="945"/>
      <c r="G667" s="945"/>
    </row>
    <row r="668" spans="1:18" s="21" customFormat="1">
      <c r="A668" s="126"/>
      <c r="B668" s="127"/>
      <c r="C668" s="899"/>
      <c r="D668" s="899"/>
      <c r="E668" s="899"/>
      <c r="F668" s="899"/>
      <c r="G668" s="899"/>
    </row>
    <row r="669" spans="1:18" s="21" customFormat="1">
      <c r="A669" s="126"/>
      <c r="B669" s="127"/>
      <c r="C669" s="899"/>
      <c r="D669" s="899"/>
      <c r="E669" s="899"/>
      <c r="F669" s="899"/>
      <c r="G669" s="899"/>
      <c r="I669" s="134"/>
      <c r="J669" s="196"/>
      <c r="K669" s="196"/>
      <c r="L669" s="196"/>
      <c r="M669" s="196"/>
      <c r="N669" s="196"/>
      <c r="O669" s="196"/>
      <c r="P669" s="196"/>
      <c r="Q669" s="196"/>
      <c r="R669" s="196"/>
    </row>
    <row r="670" spans="1:18" s="21" customFormat="1" ht="33.75" customHeight="1">
      <c r="A670" s="126"/>
      <c r="B670" s="127"/>
      <c r="C670" s="899" t="s">
        <v>354</v>
      </c>
      <c r="D670" s="899"/>
      <c r="E670" s="899"/>
      <c r="F670" s="899"/>
      <c r="G670" s="899"/>
      <c r="I670" s="196"/>
      <c r="J670" s="196"/>
      <c r="K670" s="196"/>
      <c r="L670" s="196"/>
      <c r="M670" s="196"/>
      <c r="N670" s="196"/>
      <c r="O670" s="196"/>
      <c r="P670" s="196"/>
      <c r="Q670" s="196"/>
      <c r="R670" s="196"/>
    </row>
    <row r="671" spans="1:18" s="21" customFormat="1" ht="31.5" customHeight="1">
      <c r="A671" s="126"/>
      <c r="B671" s="127"/>
      <c r="C671" s="899" t="s">
        <v>355</v>
      </c>
      <c r="D671" s="899"/>
      <c r="E671" s="899"/>
      <c r="F671" s="899"/>
      <c r="G671" s="899"/>
      <c r="I671" s="196"/>
      <c r="J671" s="196"/>
      <c r="K671" s="196"/>
      <c r="L671" s="196"/>
      <c r="M671" s="196"/>
      <c r="N671" s="196"/>
      <c r="O671" s="196"/>
      <c r="P671" s="196"/>
      <c r="Q671" s="196"/>
      <c r="R671" s="196"/>
    </row>
    <row r="672" spans="1:18" s="21" customFormat="1">
      <c r="A672" s="126"/>
      <c r="B672" s="127"/>
      <c r="C672" s="899" t="s">
        <v>356</v>
      </c>
      <c r="D672" s="899"/>
      <c r="E672" s="899"/>
      <c r="F672" s="899"/>
      <c r="G672" s="899"/>
      <c r="I672" s="196"/>
      <c r="J672" s="196"/>
      <c r="K672" s="196"/>
      <c r="L672" s="196"/>
      <c r="M672" s="196"/>
      <c r="N672" s="196"/>
      <c r="O672" s="196"/>
      <c r="P672" s="196"/>
      <c r="Q672" s="196"/>
      <c r="R672" s="196"/>
    </row>
    <row r="673" spans="1:18" s="21" customFormat="1" ht="25.5" customHeight="1">
      <c r="A673" s="126"/>
      <c r="B673" s="127"/>
      <c r="C673" s="899" t="s">
        <v>357</v>
      </c>
      <c r="D673" s="899"/>
      <c r="E673" s="899"/>
      <c r="F673" s="899"/>
      <c r="G673" s="899"/>
      <c r="I673" s="196"/>
      <c r="J673" s="196"/>
      <c r="K673" s="196"/>
      <c r="L673" s="196"/>
      <c r="M673" s="196"/>
      <c r="N673" s="196"/>
      <c r="O673" s="196"/>
      <c r="P673" s="196"/>
      <c r="Q673" s="196"/>
      <c r="R673" s="196"/>
    </row>
    <row r="674" spans="1:18" s="21" customFormat="1" ht="24" customHeight="1">
      <c r="A674" s="126"/>
      <c r="B674" s="127"/>
      <c r="C674" s="899" t="s">
        <v>358</v>
      </c>
      <c r="D674" s="899"/>
      <c r="E674" s="899"/>
      <c r="F674" s="899"/>
      <c r="G674" s="899"/>
      <c r="I674" s="196"/>
      <c r="J674" s="196"/>
      <c r="K674" s="196"/>
      <c r="L674" s="196"/>
      <c r="M674" s="196"/>
      <c r="N674" s="196"/>
      <c r="O674" s="196"/>
      <c r="P674" s="196"/>
      <c r="Q674" s="196"/>
      <c r="R674" s="196"/>
    </row>
    <row r="675" spans="1:18" s="21" customFormat="1" ht="12" customHeight="1">
      <c r="A675" s="126"/>
      <c r="B675" s="127"/>
      <c r="C675" s="899"/>
      <c r="D675" s="899"/>
      <c r="E675" s="899"/>
      <c r="F675" s="899"/>
      <c r="G675" s="899"/>
    </row>
    <row r="676" spans="1:18" s="21" customFormat="1" ht="33.75" customHeight="1">
      <c r="A676" s="126"/>
      <c r="B676" s="127"/>
      <c r="C676" s="899" t="s">
        <v>359</v>
      </c>
      <c r="D676" s="899"/>
      <c r="E676" s="899"/>
      <c r="F676" s="899"/>
      <c r="G676" s="899"/>
    </row>
    <row r="677" spans="1:18" s="21" customFormat="1" ht="42.75" customHeight="1">
      <c r="A677" s="126"/>
      <c r="B677" s="127"/>
      <c r="C677" s="899" t="s">
        <v>360</v>
      </c>
      <c r="D677" s="899"/>
      <c r="E677" s="899"/>
      <c r="F677" s="899"/>
      <c r="G677" s="899"/>
    </row>
    <row r="678" spans="1:18" s="21" customFormat="1" ht="40.5" customHeight="1">
      <c r="A678" s="126"/>
      <c r="B678" s="127"/>
      <c r="C678" s="899" t="s">
        <v>361</v>
      </c>
      <c r="D678" s="899"/>
      <c r="E678" s="899"/>
      <c r="F678" s="899"/>
      <c r="G678" s="899"/>
    </row>
    <row r="679" spans="1:18" s="21" customFormat="1">
      <c r="A679" s="126"/>
      <c r="B679" s="127"/>
      <c r="C679" s="899" t="s">
        <v>362</v>
      </c>
      <c r="D679" s="899"/>
      <c r="E679" s="899"/>
      <c r="F679" s="899"/>
      <c r="G679" s="899"/>
    </row>
    <row r="680" spans="1:18" s="21" customFormat="1" ht="33.75" customHeight="1">
      <c r="A680" s="126"/>
      <c r="B680" s="127"/>
      <c r="C680" s="899" t="s">
        <v>363</v>
      </c>
      <c r="D680" s="899"/>
      <c r="E680" s="899"/>
      <c r="F680" s="899"/>
      <c r="G680" s="899"/>
    </row>
    <row r="681" spans="1:18" s="21" customFormat="1" ht="27.75" customHeight="1">
      <c r="A681" s="126"/>
      <c r="B681" s="127"/>
      <c r="C681" s="899" t="s">
        <v>364</v>
      </c>
      <c r="D681" s="899"/>
      <c r="E681" s="899"/>
      <c r="F681" s="899"/>
      <c r="G681" s="899"/>
    </row>
    <row r="682" spans="1:18" s="21" customFormat="1" ht="33.75" customHeight="1">
      <c r="A682" s="126"/>
      <c r="B682" s="127"/>
      <c r="C682" s="899" t="s">
        <v>365</v>
      </c>
      <c r="D682" s="899"/>
      <c r="E682" s="899"/>
      <c r="F682" s="899"/>
      <c r="G682" s="899"/>
    </row>
    <row r="683" spans="1:18" s="21" customFormat="1" ht="27" customHeight="1">
      <c r="A683" s="126"/>
      <c r="B683" s="127"/>
      <c r="C683" s="899" t="s">
        <v>366</v>
      </c>
      <c r="D683" s="899"/>
      <c r="E683" s="899"/>
      <c r="F683" s="899"/>
      <c r="G683" s="899"/>
    </row>
    <row r="684" spans="1:18" s="21" customFormat="1" ht="21" customHeight="1">
      <c r="A684" s="126"/>
      <c r="B684" s="127"/>
      <c r="C684" s="899" t="s">
        <v>367</v>
      </c>
      <c r="D684" s="899"/>
      <c r="E684" s="899"/>
      <c r="F684" s="899"/>
      <c r="G684" s="899"/>
    </row>
    <row r="685" spans="1:18" s="21" customFormat="1" ht="24.75" customHeight="1">
      <c r="A685" s="126"/>
      <c r="B685" s="127"/>
      <c r="C685" s="899" t="s">
        <v>368</v>
      </c>
      <c r="D685" s="899"/>
      <c r="E685" s="899"/>
      <c r="F685" s="899"/>
      <c r="G685" s="899"/>
    </row>
    <row r="686" spans="1:18" s="21" customFormat="1">
      <c r="A686" s="126"/>
      <c r="B686" s="127"/>
      <c r="C686" s="222"/>
      <c r="D686" s="164"/>
      <c r="E686" s="165"/>
      <c r="F686" s="149"/>
      <c r="G686" s="149"/>
    </row>
    <row r="687" spans="1:18" s="21" customFormat="1" ht="57" customHeight="1">
      <c r="A687" s="126"/>
      <c r="B687" s="127"/>
      <c r="C687" s="899" t="s">
        <v>369</v>
      </c>
      <c r="D687" s="899"/>
      <c r="E687" s="899"/>
      <c r="F687" s="899"/>
      <c r="G687" s="899"/>
    </row>
    <row r="688" spans="1:18" s="21" customFormat="1" ht="25.5" customHeight="1">
      <c r="A688" s="126"/>
      <c r="B688" s="127"/>
      <c r="C688" s="899" t="s">
        <v>370</v>
      </c>
      <c r="D688" s="899"/>
      <c r="E688" s="899"/>
      <c r="F688" s="899"/>
      <c r="G688" s="899"/>
    </row>
    <row r="689" spans="1:7" s="21" customFormat="1" ht="54" customHeight="1">
      <c r="A689" s="126"/>
      <c r="B689" s="127"/>
      <c r="C689" s="899" t="s">
        <v>371</v>
      </c>
      <c r="D689" s="899"/>
      <c r="E689" s="899"/>
      <c r="F689" s="899"/>
      <c r="G689" s="899"/>
    </row>
    <row r="690" spans="1:7" s="21" customFormat="1" ht="27.75" customHeight="1">
      <c r="A690" s="126"/>
      <c r="B690" s="127"/>
      <c r="C690" s="899" t="s">
        <v>372</v>
      </c>
      <c r="D690" s="899"/>
      <c r="E690" s="899"/>
      <c r="F690" s="899"/>
      <c r="G690" s="899"/>
    </row>
    <row r="691" spans="1:7" s="21" customFormat="1" ht="59.25" customHeight="1">
      <c r="A691" s="126"/>
      <c r="B691" s="127"/>
      <c r="C691" s="899" t="s">
        <v>373</v>
      </c>
      <c r="D691" s="899"/>
      <c r="E691" s="899"/>
      <c r="F691" s="899"/>
      <c r="G691" s="899"/>
    </row>
    <row r="692" spans="1:7" s="223" customFormat="1" ht="14.25" customHeight="1">
      <c r="A692" s="126"/>
      <c r="B692" s="127"/>
      <c r="C692" s="899" t="s">
        <v>374</v>
      </c>
      <c r="D692" s="899"/>
      <c r="E692" s="899"/>
      <c r="F692" s="899"/>
      <c r="G692" s="899"/>
    </row>
    <row r="693" spans="1:7" s="223" customFormat="1" ht="14.25" customHeight="1">
      <c r="A693" s="126"/>
      <c r="B693" s="127"/>
      <c r="C693" s="899" t="s">
        <v>375</v>
      </c>
      <c r="D693" s="899"/>
      <c r="E693" s="899"/>
      <c r="F693" s="899"/>
      <c r="G693" s="899"/>
    </row>
    <row r="694" spans="1:7" s="223" customFormat="1">
      <c r="A694" s="126"/>
      <c r="B694" s="127"/>
      <c r="C694" s="899" t="s">
        <v>376</v>
      </c>
      <c r="D694" s="899"/>
      <c r="E694" s="899"/>
      <c r="F694" s="899"/>
      <c r="G694" s="899"/>
    </row>
    <row r="695" spans="1:7" s="223" customFormat="1" ht="22.5" customHeight="1">
      <c r="A695" s="126"/>
      <c r="B695" s="127"/>
      <c r="C695" s="899" t="s">
        <v>377</v>
      </c>
      <c r="D695" s="899"/>
      <c r="E695" s="899"/>
      <c r="F695" s="899"/>
      <c r="G695" s="899"/>
    </row>
    <row r="696" spans="1:7" s="223" customFormat="1" ht="70.5" customHeight="1">
      <c r="A696" s="126"/>
      <c r="B696" s="127"/>
      <c r="C696" s="899" t="s">
        <v>378</v>
      </c>
      <c r="D696" s="899"/>
      <c r="E696" s="899"/>
      <c r="F696" s="899"/>
      <c r="G696" s="899"/>
    </row>
    <row r="697" spans="1:7" s="223" customFormat="1" ht="14.25" customHeight="1">
      <c r="A697" s="126"/>
      <c r="B697" s="127"/>
      <c r="C697" s="899" t="s">
        <v>379</v>
      </c>
      <c r="D697" s="899"/>
      <c r="E697" s="899"/>
      <c r="F697" s="899"/>
      <c r="G697" s="899"/>
    </row>
    <row r="698" spans="1:7" s="223" customFormat="1" ht="15" customHeight="1">
      <c r="A698" s="126"/>
      <c r="B698" s="127"/>
      <c r="C698" s="899" t="s">
        <v>380</v>
      </c>
      <c r="D698" s="899"/>
      <c r="E698" s="899"/>
      <c r="F698" s="899"/>
      <c r="G698" s="899"/>
    </row>
    <row r="699" spans="1:7" s="223" customFormat="1">
      <c r="A699" s="126"/>
      <c r="B699" s="127"/>
      <c r="C699" s="163"/>
      <c r="D699" s="163"/>
      <c r="E699" s="163"/>
      <c r="F699" s="125"/>
      <c r="G699" s="125"/>
    </row>
    <row r="700" spans="1:7" s="223" customFormat="1" ht="13.15">
      <c r="A700" s="224"/>
      <c r="B700" s="225"/>
      <c r="C700" s="209"/>
      <c r="D700" s="226"/>
      <c r="E700" s="227"/>
      <c r="F700" s="228"/>
      <c r="G700" s="228"/>
    </row>
    <row r="701" spans="1:7" s="223" customFormat="1" ht="14.25" customHeight="1">
      <c r="A701" s="214" t="s">
        <v>1127</v>
      </c>
      <c r="B701" s="229"/>
      <c r="C701" s="943" t="s">
        <v>15</v>
      </c>
      <c r="D701" s="943"/>
      <c r="E701" s="943"/>
      <c r="F701" s="943"/>
      <c r="G701" s="943"/>
    </row>
    <row r="702" spans="1:7" s="223" customFormat="1" ht="13.15">
      <c r="A702" s="230"/>
      <c r="B702" s="231"/>
      <c r="C702" s="232"/>
      <c r="D702" s="233"/>
      <c r="E702" s="234"/>
      <c r="F702" s="228"/>
      <c r="G702" s="228"/>
    </row>
    <row r="703" spans="1:7" s="223" customFormat="1" ht="38.65">
      <c r="A703" s="214" t="s">
        <v>1127</v>
      </c>
      <c r="B703" s="235">
        <v>1</v>
      </c>
      <c r="C703" s="205" t="s">
        <v>881</v>
      </c>
      <c r="D703" s="235"/>
      <c r="E703" s="365"/>
      <c r="F703" s="438"/>
      <c r="G703" s="438"/>
    </row>
    <row r="704" spans="1:7" s="223" customFormat="1" ht="13.15">
      <c r="A704" s="230"/>
      <c r="B704" s="231"/>
      <c r="C704" s="232"/>
      <c r="D704" s="235" t="s">
        <v>2</v>
      </c>
      <c r="E704" s="365">
        <v>6.8</v>
      </c>
      <c r="F704" s="439"/>
      <c r="G704" s="354">
        <f t="shared" ref="G704" si="48">E704*F704</f>
        <v>0</v>
      </c>
    </row>
    <row r="705" spans="1:11" s="223" customFormat="1" ht="13.15">
      <c r="A705" s="230"/>
      <c r="B705" s="231"/>
      <c r="C705" s="232"/>
      <c r="D705" s="235"/>
      <c r="E705" s="365"/>
      <c r="F705" s="438"/>
      <c r="G705" s="438"/>
    </row>
    <row r="706" spans="1:11" s="223" customFormat="1" ht="13.15">
      <c r="A706" s="237"/>
      <c r="B706" s="235"/>
      <c r="C706" s="205" t="s">
        <v>52</v>
      </c>
      <c r="D706" s="235"/>
      <c r="E706" s="365"/>
      <c r="F706" s="438"/>
      <c r="G706" s="438"/>
    </row>
    <row r="707" spans="1:11" s="223" customFormat="1" ht="38.65">
      <c r="A707" s="214" t="s">
        <v>1127</v>
      </c>
      <c r="B707" s="235">
        <v>2</v>
      </c>
      <c r="C707" s="32" t="s">
        <v>875</v>
      </c>
      <c r="D707" s="235"/>
      <c r="E707" s="365"/>
      <c r="F707" s="438"/>
      <c r="G707" s="438"/>
    </row>
    <row r="708" spans="1:11" s="223" customFormat="1" ht="13.15">
      <c r="A708" s="237"/>
      <c r="B708" s="235"/>
      <c r="C708" s="205" t="s">
        <v>47</v>
      </c>
      <c r="D708" s="235" t="s">
        <v>2</v>
      </c>
      <c r="E708" s="365">
        <v>36.479999999999997</v>
      </c>
      <c r="F708" s="439"/>
      <c r="G708" s="354">
        <f t="shared" ref="G708" si="49">E708*F708</f>
        <v>0</v>
      </c>
    </row>
    <row r="709" spans="1:11" s="223" customFormat="1" ht="13.15">
      <c r="A709" s="230"/>
      <c r="B709" s="231"/>
      <c r="C709" s="232"/>
      <c r="D709" s="231"/>
      <c r="E709" s="440"/>
      <c r="F709" s="438"/>
      <c r="G709" s="438"/>
    </row>
    <row r="710" spans="1:11" s="223" customFormat="1" ht="13.15">
      <c r="A710" s="230"/>
      <c r="B710" s="231"/>
      <c r="C710" s="205" t="s">
        <v>18</v>
      </c>
      <c r="D710" s="233"/>
      <c r="E710" s="364"/>
      <c r="F710" s="228"/>
      <c r="G710" s="228"/>
    </row>
    <row r="711" spans="1:11" s="223" customFormat="1" ht="102.75">
      <c r="A711" s="214" t="s">
        <v>1127</v>
      </c>
      <c r="B711" s="235">
        <v>3</v>
      </c>
      <c r="C711" s="212" t="s">
        <v>886</v>
      </c>
      <c r="D711" s="231"/>
      <c r="E711" s="440"/>
      <c r="F711" s="438"/>
      <c r="G711" s="438"/>
    </row>
    <row r="712" spans="1:11" s="223" customFormat="1" ht="13.15">
      <c r="A712" s="230"/>
      <c r="B712" s="231"/>
      <c r="C712" s="32" t="s">
        <v>884</v>
      </c>
      <c r="D712" s="235" t="s">
        <v>2</v>
      </c>
      <c r="E712" s="365">
        <v>3075</v>
      </c>
      <c r="F712" s="439"/>
      <c r="G712" s="354">
        <f t="shared" ref="G712" si="50">E712*F712</f>
        <v>0</v>
      </c>
    </row>
    <row r="713" spans="1:11" s="223" customFormat="1" ht="13.15">
      <c r="A713" s="230"/>
      <c r="B713" s="231"/>
      <c r="C713" s="232"/>
      <c r="D713" s="231"/>
      <c r="E713" s="440"/>
      <c r="F713" s="438"/>
      <c r="G713" s="438"/>
    </row>
    <row r="714" spans="1:11" s="223" customFormat="1" ht="93" customHeight="1">
      <c r="A714" s="214" t="s">
        <v>1127</v>
      </c>
      <c r="B714" s="235">
        <v>4</v>
      </c>
      <c r="C714" s="212" t="s">
        <v>885</v>
      </c>
      <c r="D714" s="231"/>
      <c r="E714" s="440"/>
      <c r="F714" s="438"/>
      <c r="G714" s="438"/>
    </row>
    <row r="715" spans="1:11" s="223" customFormat="1" ht="18.75" customHeight="1">
      <c r="A715" s="230"/>
      <c r="B715" s="231"/>
      <c r="C715" s="32" t="s">
        <v>887</v>
      </c>
      <c r="D715" s="235" t="s">
        <v>2</v>
      </c>
      <c r="E715" s="365">
        <v>158</v>
      </c>
      <c r="F715" s="439"/>
      <c r="G715" s="354">
        <f t="shared" ref="G715" si="51">E715*F715</f>
        <v>0</v>
      </c>
    </row>
    <row r="716" spans="1:11" s="223" customFormat="1" ht="13.15">
      <c r="A716" s="230"/>
      <c r="B716" s="231"/>
      <c r="C716" s="32"/>
      <c r="D716" s="235"/>
      <c r="E716" s="365"/>
      <c r="F716" s="438"/>
      <c r="G716" s="438"/>
    </row>
    <row r="717" spans="1:11" s="223" customFormat="1" ht="51.75">
      <c r="A717" s="214" t="s">
        <v>1127</v>
      </c>
      <c r="B717" s="235">
        <v>5</v>
      </c>
      <c r="C717" s="212" t="s">
        <v>1115</v>
      </c>
      <c r="D717" s="231"/>
      <c r="E717" s="440"/>
      <c r="F717" s="438"/>
      <c r="G717" s="438"/>
    </row>
    <row r="718" spans="1:11" s="223" customFormat="1" ht="13.5" customHeight="1">
      <c r="A718" s="230"/>
      <c r="B718" s="231"/>
      <c r="C718" s="232"/>
      <c r="D718" s="235" t="s">
        <v>2</v>
      </c>
      <c r="E718" s="365">
        <v>87.4</v>
      </c>
      <c r="F718" s="439"/>
      <c r="G718" s="354">
        <f t="shared" ref="G718" si="52">E718*F718</f>
        <v>0</v>
      </c>
    </row>
    <row r="719" spans="1:11" s="223" customFormat="1" ht="13.15">
      <c r="A719" s="230"/>
      <c r="B719" s="231"/>
      <c r="C719" s="232"/>
      <c r="D719" s="231"/>
      <c r="E719" s="440"/>
      <c r="F719" s="438"/>
      <c r="G719" s="438"/>
      <c r="I719" s="944"/>
      <c r="J719" s="944"/>
      <c r="K719" s="944"/>
    </row>
    <row r="720" spans="1:11" s="223" customFormat="1" ht="51.75">
      <c r="A720" s="214" t="s">
        <v>1127</v>
      </c>
      <c r="B720" s="225">
        <v>6</v>
      </c>
      <c r="C720" s="212" t="s">
        <v>882</v>
      </c>
      <c r="D720" s="225"/>
      <c r="E720" s="441"/>
      <c r="F720" s="438"/>
      <c r="G720" s="438"/>
    </row>
    <row r="721" spans="1:7" s="223" customFormat="1" ht="13.15">
      <c r="A721" s="224"/>
      <c r="B721" s="225"/>
      <c r="C721" s="212"/>
      <c r="D721" s="225" t="s">
        <v>2</v>
      </c>
      <c r="E721" s="441">
        <v>128.74</v>
      </c>
      <c r="F721" s="439"/>
      <c r="G721" s="354">
        <f t="shared" ref="G721" si="53">E721*F721</f>
        <v>0</v>
      </c>
    </row>
    <row r="722" spans="1:7" s="223" customFormat="1" ht="13.15">
      <c r="A722" s="230"/>
      <c r="B722" s="231"/>
      <c r="C722" s="204"/>
      <c r="D722" s="231"/>
      <c r="E722" s="440"/>
      <c r="F722" s="438"/>
      <c r="G722" s="438"/>
    </row>
    <row r="723" spans="1:7" s="223" customFormat="1" ht="51.75">
      <c r="A723" s="214" t="s">
        <v>1127</v>
      </c>
      <c r="B723" s="225">
        <v>7</v>
      </c>
      <c r="C723" s="212" t="s">
        <v>904</v>
      </c>
      <c r="D723" s="225"/>
      <c r="E723" s="441"/>
      <c r="F723" s="438"/>
      <c r="G723" s="438"/>
    </row>
    <row r="724" spans="1:7" s="223" customFormat="1" ht="13.15">
      <c r="A724" s="224"/>
      <c r="B724" s="225"/>
      <c r="C724" s="212"/>
      <c r="D724" s="225" t="s">
        <v>2</v>
      </c>
      <c r="E724" s="441">
        <v>88.48</v>
      </c>
      <c r="F724" s="439"/>
      <c r="G724" s="354">
        <f t="shared" ref="G724" si="54">E724*F724</f>
        <v>0</v>
      </c>
    </row>
    <row r="725" spans="1:7" s="223" customFormat="1" ht="13.15">
      <c r="A725" s="224"/>
      <c r="B725" s="225"/>
      <c r="C725" s="212"/>
      <c r="D725" s="225"/>
      <c r="E725" s="441"/>
      <c r="F725" s="438"/>
      <c r="G725" s="438"/>
    </row>
    <row r="726" spans="1:7" s="223" customFormat="1" ht="14.25" customHeight="1">
      <c r="A726" s="237"/>
      <c r="B726" s="235"/>
      <c r="C726" s="205" t="s">
        <v>20</v>
      </c>
      <c r="D726" s="235"/>
      <c r="E726" s="365"/>
      <c r="F726" s="438"/>
      <c r="G726" s="438"/>
    </row>
    <row r="727" spans="1:7" s="223" customFormat="1" ht="76.900000000000006">
      <c r="A727" s="214" t="s">
        <v>1127</v>
      </c>
      <c r="B727" s="235">
        <v>8</v>
      </c>
      <c r="C727" s="205" t="s">
        <v>883</v>
      </c>
      <c r="D727" s="235"/>
      <c r="E727" s="365"/>
      <c r="F727" s="438"/>
      <c r="G727" s="438"/>
    </row>
    <row r="728" spans="1:7" s="223" customFormat="1" ht="13.15">
      <c r="A728" s="237"/>
      <c r="B728" s="235"/>
      <c r="C728" s="32" t="s">
        <v>880</v>
      </c>
      <c r="D728" s="235" t="s">
        <v>2</v>
      </c>
      <c r="E728" s="365">
        <v>3.55</v>
      </c>
      <c r="F728" s="439"/>
      <c r="G728" s="354">
        <f t="shared" ref="G728" si="55">E728*F728</f>
        <v>0</v>
      </c>
    </row>
    <row r="729" spans="1:7" s="223" customFormat="1" ht="13.15">
      <c r="A729" s="230"/>
      <c r="B729" s="231"/>
      <c r="C729" s="232"/>
      <c r="D729" s="231"/>
      <c r="E729" s="440"/>
      <c r="F729" s="438"/>
      <c r="G729" s="438"/>
    </row>
    <row r="730" spans="1:7" s="223" customFormat="1" ht="12.75" customHeight="1">
      <c r="A730" s="214" t="s">
        <v>1127</v>
      </c>
      <c r="B730" s="235">
        <v>9</v>
      </c>
      <c r="C730" s="205" t="s">
        <v>889</v>
      </c>
      <c r="D730" s="231"/>
      <c r="E730" s="440"/>
      <c r="F730" s="438"/>
      <c r="G730" s="438"/>
    </row>
    <row r="731" spans="1:7" s="238" customFormat="1" ht="25.5">
      <c r="A731" s="237"/>
      <c r="B731" s="235"/>
      <c r="C731" s="205" t="s">
        <v>888</v>
      </c>
      <c r="D731" s="235" t="s">
        <v>2</v>
      </c>
      <c r="E731" s="365">
        <v>1.6</v>
      </c>
      <c r="F731" s="439"/>
      <c r="G731" s="354">
        <f t="shared" ref="G731" si="56">E731*F731</f>
        <v>0</v>
      </c>
    </row>
    <row r="732" spans="1:7" s="223" customFormat="1" ht="13.15">
      <c r="A732" s="230"/>
      <c r="B732" s="231"/>
      <c r="C732" s="232"/>
      <c r="D732" s="231"/>
      <c r="E732" s="440"/>
      <c r="F732" s="438"/>
      <c r="G732" s="438"/>
    </row>
    <row r="733" spans="1:7" s="223" customFormat="1" ht="13.15">
      <c r="A733" s="230"/>
      <c r="B733" s="231"/>
      <c r="C733" s="205" t="s">
        <v>17</v>
      </c>
      <c r="D733" s="231"/>
      <c r="E733" s="440"/>
      <c r="F733" s="438"/>
      <c r="G733" s="438"/>
    </row>
    <row r="734" spans="1:7" s="223" customFormat="1" ht="64.150000000000006">
      <c r="A734" s="214" t="s">
        <v>1127</v>
      </c>
      <c r="B734" s="235">
        <v>10</v>
      </c>
      <c r="C734" s="205" t="s">
        <v>878</v>
      </c>
      <c r="D734" s="231"/>
      <c r="E734" s="440"/>
      <c r="F734" s="438"/>
      <c r="G734" s="438"/>
    </row>
    <row r="735" spans="1:7" s="223" customFormat="1" ht="13.15">
      <c r="A735" s="230"/>
      <c r="B735" s="231"/>
      <c r="C735" s="32" t="s">
        <v>1957</v>
      </c>
      <c r="D735" s="235" t="s">
        <v>2</v>
      </c>
      <c r="E735" s="365">
        <v>1167.45</v>
      </c>
      <c r="F735" s="439"/>
      <c r="G735" s="354">
        <f t="shared" ref="G735:G736" si="57">E735*F735</f>
        <v>0</v>
      </c>
    </row>
    <row r="736" spans="1:7" s="223" customFormat="1" ht="13.15">
      <c r="A736" s="230"/>
      <c r="B736" s="231"/>
      <c r="C736" s="32" t="s">
        <v>1958</v>
      </c>
      <c r="D736" s="235" t="s">
        <v>2</v>
      </c>
      <c r="E736" s="365">
        <v>25.52</v>
      </c>
      <c r="F736" s="439"/>
      <c r="G736" s="354">
        <f t="shared" si="57"/>
        <v>0</v>
      </c>
    </row>
    <row r="737" spans="1:18" s="223" customFormat="1" ht="13.15">
      <c r="A737" s="230"/>
      <c r="B737" s="231"/>
      <c r="C737" s="232"/>
      <c r="D737" s="231"/>
      <c r="E737" s="440"/>
      <c r="F737" s="438"/>
      <c r="G737" s="438"/>
    </row>
    <row r="738" spans="1:18" s="223" customFormat="1" ht="89.65">
      <c r="A738" s="214" t="s">
        <v>1127</v>
      </c>
      <c r="B738" s="235">
        <v>11</v>
      </c>
      <c r="C738" s="205" t="s">
        <v>1106</v>
      </c>
      <c r="D738" s="235"/>
      <c r="E738" s="365"/>
      <c r="F738" s="438"/>
      <c r="G738" s="438"/>
    </row>
    <row r="739" spans="1:18" s="223" customFormat="1" ht="13.15">
      <c r="A739" s="237"/>
      <c r="B739" s="235"/>
      <c r="C739" s="205"/>
      <c r="D739" s="235" t="s">
        <v>2</v>
      </c>
      <c r="E739" s="365">
        <v>37.15</v>
      </c>
      <c r="F739" s="439"/>
      <c r="G739" s="354">
        <f t="shared" ref="G739" si="58">E739*F739</f>
        <v>0</v>
      </c>
    </row>
    <row r="740" spans="1:18" s="223" customFormat="1" ht="13.15">
      <c r="A740" s="230"/>
      <c r="B740" s="231"/>
      <c r="C740" s="232"/>
      <c r="D740" s="231"/>
      <c r="E740" s="440"/>
      <c r="F740" s="438"/>
      <c r="G740" s="438"/>
    </row>
    <row r="741" spans="1:18" s="223" customFormat="1" ht="13.15">
      <c r="A741" s="237"/>
      <c r="B741" s="235"/>
      <c r="C741" s="205" t="s">
        <v>16</v>
      </c>
      <c r="D741" s="235"/>
      <c r="E741" s="440"/>
      <c r="F741" s="438"/>
      <c r="G741" s="438"/>
    </row>
    <row r="742" spans="1:18" s="223" customFormat="1" ht="82.5" customHeight="1">
      <c r="A742" s="214" t="s">
        <v>1127</v>
      </c>
      <c r="B742" s="235">
        <v>12</v>
      </c>
      <c r="C742" s="239" t="s">
        <v>877</v>
      </c>
      <c r="D742" s="235"/>
      <c r="E742" s="440"/>
      <c r="F742" s="438"/>
      <c r="G742" s="438"/>
    </row>
    <row r="743" spans="1:18" s="223" customFormat="1" ht="13.15">
      <c r="A743" s="237"/>
      <c r="B743" s="235"/>
      <c r="C743" s="205" t="s">
        <v>86</v>
      </c>
      <c r="D743" s="235" t="s">
        <v>2</v>
      </c>
      <c r="E743" s="365">
        <v>1643.05</v>
      </c>
      <c r="F743" s="439"/>
      <c r="G743" s="354">
        <f t="shared" ref="G743" si="59">E743*F743</f>
        <v>0</v>
      </c>
    </row>
    <row r="744" spans="1:18" s="223" customFormat="1" ht="13.15">
      <c r="A744" s="230"/>
      <c r="B744" s="231"/>
      <c r="C744" s="232"/>
      <c r="D744" s="231"/>
      <c r="E744" s="440"/>
      <c r="F744" s="438"/>
      <c r="G744" s="438"/>
    </row>
    <row r="745" spans="1:18" s="223" customFormat="1" ht="51">
      <c r="A745" s="230"/>
      <c r="B745" s="231"/>
      <c r="C745" s="32" t="s">
        <v>879</v>
      </c>
      <c r="D745" s="231"/>
      <c r="E745" s="440"/>
      <c r="F745" s="438"/>
      <c r="G745" s="438"/>
    </row>
    <row r="746" spans="1:18" s="223" customFormat="1" ht="13.15">
      <c r="A746" s="230"/>
      <c r="B746" s="231"/>
      <c r="C746" s="204"/>
      <c r="D746" s="231"/>
      <c r="E746" s="440"/>
      <c r="F746" s="438"/>
      <c r="G746" s="438"/>
    </row>
    <row r="747" spans="1:18" s="26" customFormat="1" ht="38.65">
      <c r="A747" s="214" t="s">
        <v>1127</v>
      </c>
      <c r="B747" s="235">
        <v>13</v>
      </c>
      <c r="C747" s="32" t="s">
        <v>876</v>
      </c>
      <c r="D747" s="231"/>
      <c r="E747" s="440"/>
      <c r="F747" s="438"/>
      <c r="G747" s="438"/>
    </row>
    <row r="748" spans="1:18" s="223" customFormat="1" ht="13.15">
      <c r="A748" s="230"/>
      <c r="B748" s="231"/>
      <c r="C748" s="204"/>
      <c r="D748" s="235" t="s">
        <v>2</v>
      </c>
      <c r="E748" s="365">
        <v>7.8</v>
      </c>
      <c r="F748" s="439"/>
      <c r="G748" s="354">
        <f t="shared" ref="G748" si="60">E748*F748</f>
        <v>0</v>
      </c>
    </row>
    <row r="749" spans="1:18" s="223" customFormat="1" ht="13.15">
      <c r="A749" s="230"/>
      <c r="B749" s="231"/>
      <c r="C749" s="204"/>
      <c r="D749" s="231"/>
      <c r="E749" s="440"/>
      <c r="F749" s="438"/>
      <c r="G749" s="438"/>
    </row>
    <row r="750" spans="1:18" s="21" customFormat="1" ht="14.25" customHeight="1">
      <c r="A750" s="230"/>
      <c r="B750" s="231"/>
      <c r="C750" s="232"/>
      <c r="D750" s="233"/>
      <c r="E750" s="364"/>
      <c r="F750" s="228"/>
      <c r="G750" s="228"/>
      <c r="I750" s="135"/>
      <c r="J750" s="135"/>
      <c r="K750" s="135"/>
      <c r="L750" s="135"/>
      <c r="M750" s="135"/>
      <c r="N750" s="135"/>
      <c r="O750" s="135"/>
      <c r="P750" s="135"/>
      <c r="Q750" s="135"/>
      <c r="R750" s="135"/>
    </row>
    <row r="751" spans="1:18" s="21" customFormat="1" ht="13.15">
      <c r="A751" s="214" t="s">
        <v>1127</v>
      </c>
      <c r="B751" s="26"/>
      <c r="C751" s="217" t="s">
        <v>1132</v>
      </c>
      <c r="D751" s="218"/>
      <c r="E751" s="362"/>
      <c r="F751" s="219"/>
      <c r="G751" s="219">
        <f>SUM(G704:G748)</f>
        <v>0</v>
      </c>
      <c r="I751" s="135"/>
      <c r="J751" s="135"/>
      <c r="K751" s="135"/>
      <c r="L751" s="135"/>
      <c r="M751" s="135"/>
      <c r="N751" s="135"/>
      <c r="O751" s="135"/>
      <c r="P751" s="135"/>
      <c r="Q751" s="135"/>
      <c r="R751" s="135"/>
    </row>
    <row r="752" spans="1:18" s="21" customFormat="1" ht="13.15">
      <c r="A752" s="230"/>
      <c r="B752" s="223"/>
      <c r="C752" s="223"/>
      <c r="D752" s="223"/>
      <c r="E752" s="366"/>
      <c r="F752" s="228"/>
      <c r="G752" s="228"/>
      <c r="I752" s="135"/>
      <c r="J752" s="135"/>
      <c r="K752" s="135"/>
      <c r="L752" s="135"/>
      <c r="M752" s="135"/>
      <c r="N752" s="135"/>
      <c r="O752" s="135"/>
      <c r="P752" s="135"/>
      <c r="Q752" s="135"/>
      <c r="R752" s="135"/>
    </row>
    <row r="753" spans="1:18" s="21" customFormat="1" ht="13.15">
      <c r="A753" s="117"/>
      <c r="B753" s="105"/>
      <c r="C753" s="204"/>
      <c r="D753" s="50"/>
      <c r="E753" s="44"/>
      <c r="F753" s="29"/>
      <c r="G753" s="29"/>
      <c r="I753" s="912"/>
      <c r="J753" s="912"/>
      <c r="K753" s="912"/>
      <c r="L753" s="912"/>
      <c r="M753" s="912"/>
      <c r="N753" s="912"/>
      <c r="O753" s="912"/>
      <c r="P753" s="912"/>
      <c r="Q753" s="912"/>
      <c r="R753" s="912"/>
    </row>
    <row r="754" spans="1:18" s="129" customFormat="1" ht="13.15">
      <c r="A754" s="214" t="s">
        <v>121</v>
      </c>
      <c r="B754" s="127"/>
      <c r="C754" s="911" t="s">
        <v>391</v>
      </c>
      <c r="D754" s="911"/>
      <c r="E754" s="911"/>
      <c r="F754" s="911"/>
      <c r="G754" s="911"/>
      <c r="I754" s="899"/>
      <c r="J754" s="899"/>
      <c r="K754" s="899"/>
      <c r="L754" s="899"/>
      <c r="M754" s="899"/>
      <c r="N754" s="899"/>
      <c r="O754" s="899"/>
      <c r="P754" s="899"/>
      <c r="Q754" s="899"/>
      <c r="R754" s="899"/>
    </row>
    <row r="755" spans="1:18" s="129" customFormat="1">
      <c r="A755" s="126"/>
      <c r="B755" s="127"/>
      <c r="C755" s="899" t="s">
        <v>392</v>
      </c>
      <c r="D755" s="899"/>
      <c r="E755" s="899"/>
      <c r="F755" s="899"/>
      <c r="G755" s="899"/>
      <c r="I755" s="899"/>
      <c r="J755" s="899"/>
      <c r="K755" s="899"/>
      <c r="L755" s="899"/>
      <c r="M755" s="899"/>
      <c r="N755" s="899"/>
      <c r="O755" s="899"/>
      <c r="P755" s="899"/>
      <c r="Q755" s="899"/>
      <c r="R755" s="899"/>
    </row>
    <row r="756" spans="1:18" s="129" customFormat="1" ht="45" customHeight="1">
      <c r="A756" s="126"/>
      <c r="B756" s="127"/>
      <c r="C756" s="899" t="s">
        <v>1921</v>
      </c>
      <c r="D756" s="899"/>
      <c r="E756" s="899"/>
      <c r="F756" s="899"/>
      <c r="G756" s="899"/>
      <c r="I756" s="946"/>
      <c r="J756" s="946"/>
      <c r="K756" s="946"/>
      <c r="L756" s="946"/>
      <c r="M756" s="946"/>
      <c r="N756" s="899"/>
      <c r="O756" s="899"/>
      <c r="P756" s="899"/>
      <c r="Q756" s="899"/>
      <c r="R756" s="899"/>
    </row>
    <row r="757" spans="1:18" s="129" customFormat="1" ht="13.5" customHeight="1">
      <c r="A757" s="126"/>
      <c r="B757" s="127"/>
      <c r="C757" s="163"/>
      <c r="D757" s="163"/>
      <c r="E757" s="198"/>
      <c r="F757" s="125"/>
      <c r="G757" s="125"/>
      <c r="I757" s="946"/>
      <c r="J757" s="946"/>
      <c r="K757" s="946"/>
      <c r="L757" s="946"/>
      <c r="M757" s="946"/>
      <c r="N757" s="899"/>
      <c r="O757" s="899"/>
      <c r="P757" s="899"/>
      <c r="Q757" s="899"/>
      <c r="R757" s="899"/>
    </row>
    <row r="758" spans="1:18" s="129" customFormat="1" ht="17.25" customHeight="1">
      <c r="A758" s="126"/>
      <c r="B758" s="127"/>
      <c r="C758" s="899" t="s">
        <v>61</v>
      </c>
      <c r="D758" s="899"/>
      <c r="E758" s="899"/>
      <c r="F758" s="899"/>
      <c r="G758" s="899"/>
      <c r="I758" s="946"/>
      <c r="J758" s="946"/>
      <c r="K758" s="946"/>
      <c r="L758" s="946"/>
      <c r="M758" s="946"/>
      <c r="N758" s="899"/>
      <c r="O758" s="899"/>
      <c r="P758" s="899"/>
      <c r="Q758" s="899"/>
      <c r="R758" s="899"/>
    </row>
    <row r="759" spans="1:18" s="129" customFormat="1" ht="19.5" customHeight="1">
      <c r="A759" s="126"/>
      <c r="B759" s="127"/>
      <c r="C759" s="915" t="s">
        <v>394</v>
      </c>
      <c r="D759" s="915"/>
      <c r="E759" s="915"/>
      <c r="F759" s="915"/>
      <c r="G759" s="915"/>
      <c r="I759" s="946"/>
      <c r="J759" s="946"/>
      <c r="K759" s="946"/>
      <c r="L759" s="946"/>
      <c r="M759" s="946"/>
      <c r="N759" s="899"/>
      <c r="O759" s="899"/>
      <c r="P759" s="899"/>
      <c r="Q759" s="899"/>
      <c r="R759" s="899"/>
    </row>
    <row r="760" spans="1:18" s="129" customFormat="1" ht="26.25" customHeight="1">
      <c r="A760" s="126"/>
      <c r="B760" s="127"/>
      <c r="C760" s="899" t="s">
        <v>395</v>
      </c>
      <c r="D760" s="899"/>
      <c r="E760" s="899"/>
      <c r="F760" s="899"/>
      <c r="G760" s="899"/>
      <c r="I760" s="946"/>
      <c r="J760" s="946"/>
      <c r="K760" s="946"/>
      <c r="L760" s="946"/>
      <c r="M760" s="946"/>
      <c r="N760" s="899"/>
      <c r="O760" s="899"/>
      <c r="P760" s="899"/>
      <c r="Q760" s="899"/>
      <c r="R760" s="899"/>
    </row>
    <row r="761" spans="1:18" s="129" customFormat="1" ht="26.25" customHeight="1">
      <c r="A761" s="126"/>
      <c r="B761" s="127"/>
      <c r="C761" s="899" t="s">
        <v>396</v>
      </c>
      <c r="D761" s="899"/>
      <c r="E761" s="899"/>
      <c r="F761" s="899"/>
      <c r="G761" s="899"/>
      <c r="I761" s="946"/>
      <c r="J761" s="946"/>
      <c r="K761" s="946"/>
      <c r="L761" s="946"/>
      <c r="M761" s="946"/>
      <c r="N761" s="899"/>
      <c r="O761" s="899"/>
      <c r="P761" s="899"/>
      <c r="Q761" s="899"/>
      <c r="R761" s="899"/>
    </row>
    <row r="762" spans="1:18" s="129" customFormat="1" ht="26.25" customHeight="1">
      <c r="A762" s="126"/>
      <c r="B762" s="127"/>
      <c r="C762" s="899" t="s">
        <v>397</v>
      </c>
      <c r="D762" s="899"/>
      <c r="E762" s="899"/>
      <c r="F762" s="899"/>
      <c r="G762" s="899"/>
      <c r="I762" s="899"/>
      <c r="J762" s="899"/>
      <c r="K762" s="899"/>
      <c r="L762" s="899"/>
      <c r="M762" s="899"/>
      <c r="N762" s="899"/>
      <c r="O762" s="899"/>
      <c r="P762" s="899"/>
      <c r="Q762" s="899"/>
      <c r="R762" s="899"/>
    </row>
    <row r="763" spans="1:18" s="129" customFormat="1" ht="26.25" customHeight="1">
      <c r="A763" s="126"/>
      <c r="B763" s="127"/>
      <c r="C763" s="899" t="s">
        <v>398</v>
      </c>
      <c r="D763" s="899"/>
      <c r="E763" s="899"/>
      <c r="F763" s="899"/>
      <c r="G763" s="899"/>
      <c r="I763" s="899"/>
      <c r="J763" s="899"/>
      <c r="K763" s="899"/>
      <c r="L763" s="899"/>
      <c r="M763" s="899"/>
      <c r="N763" s="899"/>
      <c r="O763" s="899"/>
      <c r="P763" s="899"/>
      <c r="Q763" s="899"/>
      <c r="R763" s="899"/>
    </row>
    <row r="764" spans="1:18" s="129" customFormat="1" ht="26.25" customHeight="1">
      <c r="A764" s="126"/>
      <c r="B764" s="127"/>
      <c r="C764" s="899" t="s">
        <v>399</v>
      </c>
      <c r="D764" s="899"/>
      <c r="E764" s="899"/>
      <c r="F764" s="899"/>
      <c r="G764" s="899"/>
      <c r="I764" s="899"/>
      <c r="J764" s="899"/>
      <c r="K764" s="899"/>
      <c r="L764" s="899"/>
      <c r="M764" s="899"/>
      <c r="N764" s="899"/>
      <c r="O764" s="899"/>
      <c r="P764" s="899"/>
      <c r="Q764" s="899"/>
      <c r="R764" s="899"/>
    </row>
    <row r="765" spans="1:18" s="129" customFormat="1" ht="26.25" customHeight="1">
      <c r="A765" s="126"/>
      <c r="B765" s="127"/>
      <c r="C765" s="899" t="s">
        <v>400</v>
      </c>
      <c r="D765" s="899"/>
      <c r="E765" s="899"/>
      <c r="F765" s="899"/>
      <c r="G765" s="899"/>
      <c r="I765" s="899"/>
      <c r="J765" s="899"/>
      <c r="K765" s="899"/>
      <c r="L765" s="899"/>
      <c r="M765" s="899"/>
      <c r="N765" s="899"/>
      <c r="O765" s="899"/>
      <c r="P765" s="899"/>
      <c r="Q765" s="899"/>
      <c r="R765" s="899"/>
    </row>
    <row r="766" spans="1:18" s="129" customFormat="1" ht="24.75" customHeight="1">
      <c r="A766" s="126"/>
      <c r="B766" s="127"/>
      <c r="C766" s="899" t="s">
        <v>401</v>
      </c>
      <c r="D766" s="899"/>
      <c r="E766" s="899"/>
      <c r="F766" s="899"/>
      <c r="G766" s="899"/>
      <c r="I766" s="899"/>
      <c r="J766" s="899"/>
      <c r="K766" s="899"/>
      <c r="L766" s="899"/>
      <c r="M766" s="899"/>
      <c r="N766" s="899"/>
      <c r="O766" s="899"/>
      <c r="P766" s="899"/>
      <c r="Q766" s="899"/>
      <c r="R766" s="899"/>
    </row>
    <row r="767" spans="1:18" s="129" customFormat="1" ht="25.5" customHeight="1">
      <c r="A767" s="126"/>
      <c r="B767" s="127"/>
      <c r="C767" s="899" t="s">
        <v>402</v>
      </c>
      <c r="D767" s="899"/>
      <c r="E767" s="899"/>
      <c r="F767" s="899"/>
      <c r="G767" s="899"/>
      <c r="I767" s="899"/>
      <c r="J767" s="899"/>
      <c r="K767" s="899"/>
      <c r="L767" s="899"/>
      <c r="M767" s="899"/>
      <c r="N767" s="899"/>
      <c r="O767" s="899"/>
      <c r="P767" s="899"/>
      <c r="Q767" s="899"/>
      <c r="R767" s="899"/>
    </row>
    <row r="768" spans="1:18" s="129" customFormat="1" ht="27" customHeight="1">
      <c r="A768" s="126"/>
      <c r="B768" s="127"/>
      <c r="C768" s="899" t="s">
        <v>403</v>
      </c>
      <c r="D768" s="899"/>
      <c r="E768" s="899"/>
      <c r="F768" s="899"/>
      <c r="G768" s="899"/>
      <c r="I768" s="899"/>
      <c r="J768" s="899"/>
      <c r="K768" s="899"/>
      <c r="L768" s="899"/>
      <c r="M768" s="899"/>
      <c r="N768" s="899"/>
      <c r="O768" s="899"/>
      <c r="P768" s="899"/>
      <c r="Q768" s="899"/>
      <c r="R768" s="899"/>
    </row>
    <row r="769" spans="1:18" s="129" customFormat="1" ht="27" customHeight="1">
      <c r="A769" s="126"/>
      <c r="B769" s="127"/>
      <c r="C769" s="899" t="s">
        <v>404</v>
      </c>
      <c r="D769" s="899"/>
      <c r="E769" s="899"/>
      <c r="F769" s="899"/>
      <c r="G769" s="899"/>
      <c r="I769" s="899"/>
      <c r="J769" s="899"/>
      <c r="K769" s="899"/>
      <c r="L769" s="899"/>
      <c r="M769" s="899"/>
      <c r="N769" s="899"/>
      <c r="O769" s="899"/>
      <c r="P769" s="899"/>
      <c r="Q769" s="899"/>
      <c r="R769" s="899"/>
    </row>
    <row r="770" spans="1:18" s="129" customFormat="1" ht="24.75" customHeight="1">
      <c r="A770" s="126"/>
      <c r="B770" s="127"/>
      <c r="C770" s="899" t="s">
        <v>405</v>
      </c>
      <c r="D770" s="899"/>
      <c r="E770" s="899"/>
      <c r="F770" s="899"/>
      <c r="G770" s="899"/>
      <c r="I770" s="899"/>
      <c r="J770" s="899"/>
      <c r="K770" s="899"/>
      <c r="L770" s="899"/>
      <c r="M770" s="899"/>
      <c r="N770" s="899"/>
      <c r="O770" s="899"/>
      <c r="P770" s="899"/>
      <c r="Q770" s="899"/>
      <c r="R770" s="899"/>
    </row>
    <row r="771" spans="1:18" s="129" customFormat="1" ht="27" customHeight="1">
      <c r="A771" s="126"/>
      <c r="B771" s="127"/>
      <c r="C771" s="899" t="s">
        <v>406</v>
      </c>
      <c r="D771" s="899"/>
      <c r="E771" s="899"/>
      <c r="F771" s="899"/>
      <c r="G771" s="899"/>
      <c r="I771" s="899"/>
      <c r="J771" s="899"/>
      <c r="K771" s="899"/>
      <c r="L771" s="899"/>
      <c r="M771" s="899"/>
      <c r="N771" s="899"/>
      <c r="O771" s="899"/>
      <c r="P771" s="899"/>
      <c r="Q771" s="899"/>
      <c r="R771" s="899"/>
    </row>
    <row r="772" spans="1:18" s="129" customFormat="1" ht="27" customHeight="1">
      <c r="A772" s="126"/>
      <c r="B772" s="127"/>
      <c r="C772" s="899" t="s">
        <v>407</v>
      </c>
      <c r="D772" s="899"/>
      <c r="E772" s="899"/>
      <c r="F772" s="899"/>
      <c r="G772" s="899"/>
      <c r="I772" s="163" t="s">
        <v>415</v>
      </c>
      <c r="J772" s="163"/>
      <c r="K772" s="163"/>
      <c r="L772" s="163"/>
      <c r="M772" s="163"/>
      <c r="N772" s="163"/>
      <c r="O772" s="163"/>
      <c r="P772" s="163"/>
      <c r="Q772" s="163"/>
      <c r="R772" s="163"/>
    </row>
    <row r="773" spans="1:18" s="129" customFormat="1" ht="27" customHeight="1">
      <c r="A773" s="126"/>
      <c r="B773" s="127"/>
      <c r="C773" s="899" t="s">
        <v>408</v>
      </c>
      <c r="D773" s="899"/>
      <c r="E773" s="899"/>
      <c r="F773" s="899"/>
      <c r="G773" s="899"/>
      <c r="I773" s="163"/>
      <c r="J773" s="163"/>
      <c r="K773" s="163"/>
      <c r="L773" s="163"/>
      <c r="M773" s="163"/>
      <c r="N773" s="163"/>
      <c r="O773" s="163"/>
      <c r="P773" s="163"/>
      <c r="Q773" s="163"/>
      <c r="R773" s="163"/>
    </row>
    <row r="774" spans="1:18" s="129" customFormat="1" ht="27" customHeight="1">
      <c r="A774" s="126"/>
      <c r="B774" s="127"/>
      <c r="C774" s="899" t="s">
        <v>409</v>
      </c>
      <c r="D774" s="899"/>
      <c r="E774" s="899"/>
      <c r="F774" s="899"/>
      <c r="G774" s="899"/>
      <c r="I774" s="163"/>
      <c r="J774" s="163"/>
      <c r="K774" s="163"/>
      <c r="L774" s="163"/>
      <c r="M774" s="163"/>
      <c r="N774" s="163"/>
      <c r="O774" s="163"/>
      <c r="P774" s="163"/>
      <c r="Q774" s="163"/>
      <c r="R774" s="163"/>
    </row>
    <row r="775" spans="1:18" s="129" customFormat="1" ht="27" customHeight="1">
      <c r="A775" s="126"/>
      <c r="B775" s="127"/>
      <c r="C775" s="899" t="s">
        <v>410</v>
      </c>
      <c r="D775" s="899"/>
      <c r="E775" s="899"/>
      <c r="F775" s="899"/>
      <c r="G775" s="899"/>
      <c r="I775" s="163"/>
      <c r="J775" s="163"/>
      <c r="K775" s="163"/>
      <c r="L775" s="163"/>
      <c r="M775" s="163"/>
      <c r="N775" s="163"/>
      <c r="O775" s="163"/>
      <c r="P775" s="163"/>
      <c r="Q775" s="163"/>
      <c r="R775" s="163"/>
    </row>
    <row r="776" spans="1:18" s="129" customFormat="1" ht="27" customHeight="1">
      <c r="A776" s="126"/>
      <c r="B776" s="127"/>
      <c r="C776" s="899" t="s">
        <v>411</v>
      </c>
      <c r="D776" s="899"/>
      <c r="E776" s="899"/>
      <c r="F776" s="899"/>
      <c r="G776" s="899"/>
      <c r="I776" s="163"/>
      <c r="J776" s="163"/>
      <c r="K776" s="163"/>
      <c r="L776" s="163"/>
      <c r="M776" s="163"/>
      <c r="N776" s="163"/>
      <c r="O776" s="163"/>
      <c r="P776" s="163"/>
      <c r="Q776" s="163"/>
      <c r="R776" s="163"/>
    </row>
    <row r="777" spans="1:18" s="129" customFormat="1" ht="27" customHeight="1">
      <c r="A777" s="126"/>
      <c r="B777" s="127"/>
      <c r="C777" s="899" t="s">
        <v>412</v>
      </c>
      <c r="D777" s="899"/>
      <c r="E777" s="899"/>
      <c r="F777" s="899"/>
      <c r="G777" s="899"/>
      <c r="I777" s="163"/>
      <c r="J777" s="163"/>
      <c r="K777" s="163"/>
      <c r="L777" s="163"/>
      <c r="M777" s="163"/>
      <c r="N777" s="163"/>
      <c r="O777" s="163"/>
      <c r="P777" s="163"/>
      <c r="Q777" s="163"/>
      <c r="R777" s="163"/>
    </row>
    <row r="778" spans="1:18" s="129" customFormat="1" ht="27" customHeight="1">
      <c r="A778" s="126"/>
      <c r="B778" s="127"/>
      <c r="C778" s="899" t="s">
        <v>413</v>
      </c>
      <c r="D778" s="899"/>
      <c r="E778" s="899"/>
      <c r="F778" s="899"/>
      <c r="G778" s="899"/>
      <c r="I778" s="163"/>
      <c r="J778" s="163"/>
      <c r="K778" s="163"/>
      <c r="L778" s="163"/>
      <c r="M778" s="163"/>
      <c r="N778" s="163"/>
      <c r="O778" s="163"/>
      <c r="P778" s="163"/>
      <c r="Q778" s="163"/>
      <c r="R778" s="163"/>
    </row>
    <row r="779" spans="1:18" s="129" customFormat="1" ht="27" customHeight="1">
      <c r="A779" s="126"/>
      <c r="B779" s="127"/>
      <c r="C779" s="899" t="s">
        <v>414</v>
      </c>
      <c r="D779" s="899"/>
      <c r="E779" s="899"/>
      <c r="F779" s="899"/>
      <c r="G779" s="899"/>
      <c r="I779" s="163"/>
      <c r="J779" s="163"/>
      <c r="K779" s="163"/>
      <c r="L779" s="163"/>
      <c r="M779" s="163"/>
      <c r="N779" s="163"/>
      <c r="O779" s="163"/>
      <c r="P779" s="163"/>
      <c r="Q779" s="163"/>
      <c r="R779" s="163"/>
    </row>
    <row r="780" spans="1:18" s="129" customFormat="1" ht="28.5" customHeight="1">
      <c r="A780" s="126"/>
      <c r="B780" s="127"/>
      <c r="C780" s="899" t="s">
        <v>416</v>
      </c>
      <c r="D780" s="899"/>
      <c r="E780" s="899"/>
      <c r="F780" s="899"/>
      <c r="G780" s="899"/>
      <c r="I780" s="899"/>
      <c r="J780" s="899"/>
      <c r="K780" s="899"/>
      <c r="L780" s="899"/>
      <c r="M780" s="899"/>
      <c r="N780" s="899"/>
      <c r="O780" s="899"/>
      <c r="P780" s="899"/>
      <c r="Q780" s="899"/>
      <c r="R780" s="899"/>
    </row>
    <row r="781" spans="1:18" s="129" customFormat="1" ht="39" customHeight="1">
      <c r="A781" s="126"/>
      <c r="B781" s="127"/>
      <c r="C781" s="899" t="s">
        <v>417</v>
      </c>
      <c r="D781" s="899"/>
      <c r="E781" s="899"/>
      <c r="F781" s="899"/>
      <c r="G781" s="899"/>
      <c r="I781" s="899"/>
      <c r="J781" s="899"/>
      <c r="K781" s="899"/>
      <c r="L781" s="899"/>
      <c r="M781" s="899"/>
      <c r="N781" s="899"/>
      <c r="O781" s="899"/>
      <c r="P781" s="899"/>
      <c r="Q781" s="899"/>
      <c r="R781" s="899"/>
    </row>
    <row r="782" spans="1:18" s="129" customFormat="1" ht="39" customHeight="1">
      <c r="A782" s="126"/>
      <c r="B782" s="127"/>
      <c r="C782" s="899" t="s">
        <v>418</v>
      </c>
      <c r="D782" s="899"/>
      <c r="E782" s="899"/>
      <c r="F782" s="899"/>
      <c r="G782" s="899"/>
    </row>
    <row r="783" spans="1:18" s="129" customFormat="1" ht="38.25" customHeight="1">
      <c r="A783" s="126"/>
      <c r="B783" s="127"/>
      <c r="C783" s="899" t="s">
        <v>419</v>
      </c>
      <c r="D783" s="899"/>
      <c r="E783" s="899"/>
      <c r="F783" s="899"/>
      <c r="G783" s="899"/>
    </row>
    <row r="784" spans="1:18" s="129" customFormat="1" ht="33.75" customHeight="1">
      <c r="A784" s="126"/>
      <c r="B784" s="127"/>
      <c r="C784" s="899" t="s">
        <v>420</v>
      </c>
      <c r="D784" s="899"/>
      <c r="E784" s="899"/>
      <c r="F784" s="899"/>
      <c r="G784" s="899"/>
    </row>
    <row r="785" spans="1:7" s="129" customFormat="1" ht="32.25" customHeight="1">
      <c r="A785" s="126"/>
      <c r="B785" s="127"/>
      <c r="C785" s="899" t="s">
        <v>421</v>
      </c>
      <c r="D785" s="899"/>
      <c r="E785" s="899"/>
      <c r="F785" s="899"/>
      <c r="G785" s="899"/>
    </row>
    <row r="786" spans="1:7" s="129" customFormat="1" ht="37.5" customHeight="1">
      <c r="A786" s="126"/>
      <c r="B786" s="127"/>
      <c r="C786" s="899" t="s">
        <v>422</v>
      </c>
      <c r="D786" s="899"/>
      <c r="E786" s="899"/>
      <c r="F786" s="899"/>
      <c r="G786" s="899"/>
    </row>
    <row r="787" spans="1:7" s="129" customFormat="1" ht="16.5" customHeight="1">
      <c r="A787" s="126"/>
      <c r="B787" s="127"/>
      <c r="C787" s="899"/>
      <c r="D787" s="899"/>
      <c r="E787" s="899"/>
      <c r="F787" s="899"/>
      <c r="G787" s="899"/>
    </row>
    <row r="788" spans="1:7" s="129" customFormat="1" ht="60.75" customHeight="1">
      <c r="A788" s="126"/>
      <c r="B788" s="127"/>
      <c r="C788" s="899" t="s">
        <v>423</v>
      </c>
      <c r="D788" s="899"/>
      <c r="E788" s="899"/>
      <c r="F788" s="899"/>
      <c r="G788" s="899"/>
    </row>
    <row r="789" spans="1:7" s="129" customFormat="1" ht="42" customHeight="1">
      <c r="A789" s="126"/>
      <c r="B789" s="127"/>
      <c r="C789" s="899" t="s">
        <v>1140</v>
      </c>
      <c r="D789" s="899"/>
      <c r="E789" s="899"/>
      <c r="F789" s="899"/>
      <c r="G789" s="899"/>
    </row>
    <row r="790" spans="1:7" s="129" customFormat="1" ht="50.25" customHeight="1">
      <c r="A790" s="126"/>
      <c r="B790" s="127"/>
      <c r="C790" s="899" t="s">
        <v>424</v>
      </c>
      <c r="D790" s="899"/>
      <c r="E790" s="899"/>
      <c r="F790" s="899"/>
      <c r="G790" s="899"/>
    </row>
    <row r="791" spans="1:7" s="129" customFormat="1" ht="114.75" customHeight="1">
      <c r="A791" s="126"/>
      <c r="B791" s="127"/>
      <c r="C791" s="899" t="s">
        <v>425</v>
      </c>
      <c r="D791" s="899"/>
      <c r="E791" s="899"/>
      <c r="F791" s="899"/>
      <c r="G791" s="899"/>
    </row>
    <row r="792" spans="1:7" s="129" customFormat="1" ht="12.75" customHeight="1">
      <c r="A792" s="126"/>
      <c r="B792" s="127"/>
      <c r="C792" s="899" t="s">
        <v>426</v>
      </c>
      <c r="D792" s="899"/>
      <c r="E792" s="899"/>
      <c r="F792" s="899"/>
      <c r="G792" s="899"/>
    </row>
    <row r="793" spans="1:7" s="129" customFormat="1" ht="87" customHeight="1">
      <c r="A793" s="126"/>
      <c r="B793" s="127"/>
      <c r="C793" s="899" t="s">
        <v>427</v>
      </c>
      <c r="D793" s="899"/>
      <c r="E793" s="899"/>
      <c r="F793" s="899"/>
      <c r="G793" s="899"/>
    </row>
    <row r="794" spans="1:7" s="129" customFormat="1" ht="43.5" customHeight="1">
      <c r="A794" s="126"/>
      <c r="B794" s="127"/>
      <c r="C794" s="899" t="s">
        <v>428</v>
      </c>
      <c r="D794" s="899"/>
      <c r="E794" s="899"/>
      <c r="F794" s="899"/>
      <c r="G794" s="899"/>
    </row>
    <row r="795" spans="1:7" s="129" customFormat="1" ht="25.5" customHeight="1">
      <c r="A795" s="126"/>
      <c r="B795" s="127"/>
      <c r="C795" s="899" t="s">
        <v>429</v>
      </c>
      <c r="D795" s="899"/>
      <c r="E795" s="899"/>
      <c r="F795" s="899"/>
      <c r="G795" s="899"/>
    </row>
    <row r="796" spans="1:7" s="129" customFormat="1" ht="29.25" customHeight="1">
      <c r="A796" s="126"/>
      <c r="B796" s="127"/>
      <c r="C796" s="899" t="s">
        <v>430</v>
      </c>
      <c r="D796" s="899"/>
      <c r="E796" s="899"/>
      <c r="F796" s="899"/>
      <c r="G796" s="899"/>
    </row>
    <row r="797" spans="1:7" s="21" customFormat="1">
      <c r="A797" s="121"/>
      <c r="B797" s="122"/>
      <c r="C797" s="912"/>
      <c r="D797" s="912"/>
      <c r="E797" s="912"/>
      <c r="F797" s="912"/>
      <c r="G797" s="912"/>
    </row>
    <row r="798" spans="1:7" s="129" customFormat="1" ht="84.75" customHeight="1">
      <c r="A798" s="126"/>
      <c r="B798" s="127"/>
      <c r="C798" s="899" t="s">
        <v>431</v>
      </c>
      <c r="D798" s="899"/>
      <c r="E798" s="899"/>
      <c r="F798" s="899"/>
      <c r="G798" s="899"/>
    </row>
    <row r="799" spans="1:7" s="21" customFormat="1">
      <c r="A799" s="121"/>
      <c r="B799" s="122"/>
      <c r="C799" s="912"/>
      <c r="D799" s="912"/>
      <c r="E799" s="912"/>
      <c r="F799" s="912"/>
      <c r="G799" s="912"/>
    </row>
    <row r="800" spans="1:7" s="129" customFormat="1" ht="27" customHeight="1">
      <c r="A800" s="126"/>
      <c r="B800" s="127"/>
      <c r="C800" s="899" t="s">
        <v>432</v>
      </c>
      <c r="D800" s="899"/>
      <c r="E800" s="899"/>
      <c r="F800" s="899"/>
      <c r="G800" s="899"/>
    </row>
    <row r="801" spans="1:7" s="21" customFormat="1" ht="14.25" customHeight="1">
      <c r="A801" s="121"/>
      <c r="B801" s="122"/>
      <c r="C801" s="123"/>
      <c r="D801" s="123"/>
      <c r="E801" s="124"/>
      <c r="F801" s="125"/>
      <c r="G801" s="125"/>
    </row>
    <row r="802" spans="1:7" s="129" customFormat="1" ht="30.75" customHeight="1">
      <c r="A802" s="126"/>
      <c r="B802" s="127"/>
      <c r="C802" s="911" t="s">
        <v>1143</v>
      </c>
      <c r="D802" s="911"/>
      <c r="E802" s="911"/>
      <c r="F802" s="911"/>
      <c r="G802" s="911"/>
    </row>
    <row r="803" spans="1:7" s="129" customFormat="1" ht="24.75" customHeight="1">
      <c r="A803" s="126"/>
      <c r="B803" s="127"/>
      <c r="C803" s="899" t="s">
        <v>440</v>
      </c>
      <c r="D803" s="899"/>
      <c r="E803" s="899"/>
      <c r="F803" s="899"/>
      <c r="G803" s="899"/>
    </row>
    <row r="804" spans="1:7" s="129" customFormat="1" ht="72.75" customHeight="1">
      <c r="A804" s="126"/>
      <c r="B804" s="127"/>
      <c r="C804" s="899" t="s">
        <v>441</v>
      </c>
      <c r="D804" s="899"/>
      <c r="E804" s="899"/>
      <c r="F804" s="899"/>
      <c r="G804" s="899"/>
    </row>
    <row r="805" spans="1:7" s="129" customFormat="1" ht="33" customHeight="1">
      <c r="A805" s="126"/>
      <c r="B805" s="127"/>
      <c r="C805" s="899" t="s">
        <v>433</v>
      </c>
      <c r="D805" s="899"/>
      <c r="E805" s="899"/>
      <c r="F805" s="899"/>
      <c r="G805" s="899"/>
    </row>
    <row r="806" spans="1:7" s="129" customFormat="1" ht="26.25" customHeight="1">
      <c r="A806" s="126"/>
      <c r="B806" s="127"/>
      <c r="C806" s="899" t="s">
        <v>434</v>
      </c>
      <c r="D806" s="899"/>
      <c r="E806" s="899"/>
      <c r="F806" s="899"/>
      <c r="G806" s="899"/>
    </row>
    <row r="807" spans="1:7" s="129" customFormat="1" ht="12" customHeight="1">
      <c r="A807" s="126"/>
      <c r="B807" s="127"/>
      <c r="C807" s="899" t="s">
        <v>435</v>
      </c>
      <c r="D807" s="899"/>
      <c r="E807" s="899"/>
      <c r="F807" s="899"/>
      <c r="G807" s="899"/>
    </row>
    <row r="808" spans="1:7" s="129" customFormat="1" ht="20.25" customHeight="1">
      <c r="A808" s="126"/>
      <c r="B808" s="127"/>
      <c r="C808" s="899" t="s">
        <v>436</v>
      </c>
      <c r="D808" s="899"/>
      <c r="E808" s="899"/>
      <c r="F808" s="899"/>
      <c r="G808" s="899"/>
    </row>
    <row r="809" spans="1:7" s="129" customFormat="1" ht="15.75" customHeight="1">
      <c r="A809" s="126"/>
      <c r="B809" s="127"/>
      <c r="C809" s="899" t="s">
        <v>437</v>
      </c>
      <c r="D809" s="899"/>
      <c r="E809" s="899"/>
      <c r="F809" s="899"/>
      <c r="G809" s="899"/>
    </row>
    <row r="810" spans="1:7" s="129" customFormat="1" ht="18.75" customHeight="1">
      <c r="A810" s="126"/>
      <c r="B810" s="127"/>
      <c r="C810" s="899" t="s">
        <v>438</v>
      </c>
      <c r="D810" s="899"/>
      <c r="E810" s="899"/>
      <c r="F810" s="899"/>
      <c r="G810" s="899"/>
    </row>
    <row r="811" spans="1:7" s="129" customFormat="1" ht="16.5" customHeight="1">
      <c r="A811" s="126"/>
      <c r="B811" s="127"/>
      <c r="C811" s="899" t="s">
        <v>439</v>
      </c>
      <c r="D811" s="899"/>
      <c r="E811" s="899"/>
      <c r="F811" s="899"/>
      <c r="G811" s="899"/>
    </row>
    <row r="812" spans="1:7" s="21" customFormat="1" ht="11.25" customHeight="1">
      <c r="A812" s="121"/>
      <c r="B812" s="122"/>
      <c r="C812" s="912"/>
      <c r="D812" s="912"/>
      <c r="E812" s="912"/>
      <c r="F812" s="912"/>
      <c r="G812" s="912"/>
    </row>
    <row r="813" spans="1:7" s="129" customFormat="1" ht="26.25" customHeight="1">
      <c r="A813" s="126"/>
      <c r="B813" s="127"/>
      <c r="C813" s="911" t="s">
        <v>1141</v>
      </c>
      <c r="D813" s="911"/>
      <c r="E813" s="911"/>
      <c r="F813" s="911"/>
      <c r="G813" s="911"/>
    </row>
    <row r="814" spans="1:7" s="129" customFormat="1" ht="18.75" customHeight="1">
      <c r="A814" s="126"/>
      <c r="B814" s="127"/>
      <c r="C814" s="899" t="s">
        <v>891</v>
      </c>
      <c r="D814" s="899"/>
      <c r="E814" s="899"/>
      <c r="F814" s="899"/>
      <c r="G814" s="899"/>
    </row>
    <row r="815" spans="1:7" s="129" customFormat="1">
      <c r="A815" s="126"/>
      <c r="B815" s="127"/>
      <c r="C815" s="899" t="s">
        <v>892</v>
      </c>
      <c r="D815" s="899"/>
      <c r="E815" s="899"/>
      <c r="F815" s="899"/>
      <c r="G815" s="899"/>
    </row>
    <row r="816" spans="1:7" s="129" customFormat="1">
      <c r="A816" s="126"/>
      <c r="B816" s="127"/>
      <c r="C816" s="899" t="s">
        <v>893</v>
      </c>
      <c r="D816" s="899"/>
      <c r="E816" s="899"/>
      <c r="F816" s="899"/>
      <c r="G816" s="899"/>
    </row>
    <row r="817" spans="1:7" s="129" customFormat="1">
      <c r="A817" s="126"/>
      <c r="B817" s="127"/>
      <c r="C817" s="899" t="s">
        <v>894</v>
      </c>
      <c r="D817" s="899"/>
      <c r="E817" s="899"/>
      <c r="F817" s="899"/>
      <c r="G817" s="899"/>
    </row>
    <row r="818" spans="1:7" s="129" customFormat="1">
      <c r="A818" s="126"/>
      <c r="B818" s="127"/>
      <c r="C818" s="899" t="s">
        <v>895</v>
      </c>
      <c r="D818" s="899"/>
      <c r="E818" s="899"/>
      <c r="F818" s="899"/>
      <c r="G818" s="899"/>
    </row>
    <row r="819" spans="1:7" s="129" customFormat="1">
      <c r="A819" s="126"/>
      <c r="B819" s="127"/>
      <c r="C819" s="899" t="s">
        <v>896</v>
      </c>
      <c r="D819" s="899"/>
      <c r="E819" s="899"/>
      <c r="F819" s="899"/>
      <c r="G819" s="899"/>
    </row>
    <row r="820" spans="1:7" s="129" customFormat="1">
      <c r="A820" s="126"/>
      <c r="B820" s="127"/>
      <c r="C820" s="163"/>
      <c r="D820" s="163"/>
      <c r="E820" s="163"/>
      <c r="F820" s="125"/>
      <c r="G820" s="125"/>
    </row>
    <row r="821" spans="1:7" s="129" customFormat="1" ht="30" customHeight="1">
      <c r="A821" s="126"/>
      <c r="B821" s="127"/>
      <c r="C821" s="911" t="s">
        <v>1144</v>
      </c>
      <c r="D821" s="911"/>
      <c r="E821" s="911"/>
      <c r="F821" s="911"/>
      <c r="G821" s="911"/>
    </row>
    <row r="822" spans="1:7" s="129" customFormat="1" ht="30" customHeight="1">
      <c r="A822" s="126"/>
      <c r="B822" s="127"/>
      <c r="C822" s="899" t="s">
        <v>898</v>
      </c>
      <c r="D822" s="899"/>
      <c r="E822" s="899"/>
      <c r="F822" s="899"/>
      <c r="G822" s="899"/>
    </row>
    <row r="823" spans="1:7" s="129" customFormat="1" ht="19.5" customHeight="1">
      <c r="A823" s="126"/>
      <c r="B823" s="127"/>
      <c r="C823" s="899" t="s">
        <v>899</v>
      </c>
      <c r="D823" s="899"/>
      <c r="E823" s="899"/>
      <c r="F823" s="899"/>
      <c r="G823" s="899"/>
    </row>
    <row r="824" spans="1:7" s="129" customFormat="1" ht="19.5" customHeight="1">
      <c r="A824" s="126"/>
      <c r="B824" s="127"/>
      <c r="C824" s="899" t="s">
        <v>900</v>
      </c>
      <c r="D824" s="899"/>
      <c r="E824" s="899"/>
      <c r="F824" s="899"/>
      <c r="G824" s="899"/>
    </row>
    <row r="825" spans="1:7" s="129" customFormat="1" ht="16.5" customHeight="1">
      <c r="A825" s="126"/>
      <c r="B825" s="127"/>
      <c r="C825" s="899" t="s">
        <v>901</v>
      </c>
      <c r="D825" s="899"/>
      <c r="E825" s="899"/>
      <c r="F825" s="899"/>
      <c r="G825" s="899"/>
    </row>
    <row r="826" spans="1:7" s="129" customFormat="1" ht="15.75" customHeight="1">
      <c r="A826" s="126"/>
      <c r="B826" s="127"/>
      <c r="C826" s="899" t="s">
        <v>897</v>
      </c>
      <c r="D826" s="899"/>
      <c r="E826" s="899"/>
      <c r="F826" s="899"/>
      <c r="G826" s="899"/>
    </row>
    <row r="827" spans="1:7" s="21" customFormat="1">
      <c r="A827" s="121"/>
      <c r="B827" s="122"/>
      <c r="C827" s="912"/>
      <c r="D827" s="912"/>
      <c r="E827" s="912"/>
      <c r="F827" s="912"/>
      <c r="G827" s="912"/>
    </row>
    <row r="828" spans="1:7" s="129" customFormat="1">
      <c r="A828" s="126"/>
      <c r="B828" s="127"/>
      <c r="C828" s="899" t="s">
        <v>442</v>
      </c>
      <c r="D828" s="899"/>
      <c r="E828" s="899"/>
      <c r="F828" s="899"/>
      <c r="G828" s="899"/>
    </row>
    <row r="829" spans="1:7" s="129" customFormat="1" ht="55.5" customHeight="1">
      <c r="A829" s="126"/>
      <c r="B829" s="127"/>
      <c r="C829" s="899" t="s">
        <v>890</v>
      </c>
      <c r="D829" s="952"/>
      <c r="E829" s="952"/>
      <c r="F829" s="952"/>
      <c r="G829" s="952"/>
    </row>
    <row r="830" spans="1:7" s="21" customFormat="1">
      <c r="A830" s="121"/>
      <c r="B830" s="122"/>
      <c r="C830" s="912"/>
      <c r="D830" s="912"/>
      <c r="E830" s="912"/>
      <c r="F830" s="912"/>
      <c r="G830" s="912"/>
    </row>
    <row r="831" spans="1:7" s="129" customFormat="1" ht="15" customHeight="1">
      <c r="A831" s="126"/>
      <c r="B831" s="127"/>
      <c r="C831" s="899" t="s">
        <v>443</v>
      </c>
      <c r="D831" s="899"/>
      <c r="E831" s="899"/>
      <c r="F831" s="899"/>
      <c r="G831" s="899"/>
    </row>
    <row r="832" spans="1:7" s="129" customFormat="1" ht="20.25" customHeight="1">
      <c r="A832" s="126"/>
      <c r="B832" s="127"/>
      <c r="C832" s="899" t="s">
        <v>444</v>
      </c>
      <c r="D832" s="899"/>
      <c r="E832" s="899"/>
      <c r="F832" s="899"/>
      <c r="G832" s="899"/>
    </row>
    <row r="833" spans="1:16" s="129" customFormat="1" ht="18.75" customHeight="1">
      <c r="A833" s="126"/>
      <c r="B833" s="127"/>
      <c r="C833" s="899" t="s">
        <v>445</v>
      </c>
      <c r="D833" s="899"/>
      <c r="E833" s="899"/>
      <c r="F833" s="899"/>
      <c r="G833" s="899"/>
    </row>
    <row r="834" spans="1:16" s="129" customFormat="1" ht="42.75" customHeight="1">
      <c r="A834" s="126"/>
      <c r="B834" s="127"/>
      <c r="C834" s="899" t="s">
        <v>446</v>
      </c>
      <c r="D834" s="899"/>
      <c r="E834" s="899"/>
      <c r="F834" s="899"/>
      <c r="G834" s="899"/>
    </row>
    <row r="835" spans="1:16" s="129" customFormat="1" ht="30.75" customHeight="1">
      <c r="A835" s="126"/>
      <c r="B835" s="127"/>
      <c r="C835" s="899" t="s">
        <v>447</v>
      </c>
      <c r="D835" s="899"/>
      <c r="E835" s="899"/>
      <c r="F835" s="899"/>
      <c r="G835" s="899"/>
    </row>
    <row r="836" spans="1:16" s="129" customFormat="1" ht="19.5" customHeight="1">
      <c r="A836" s="126"/>
      <c r="B836" s="127"/>
      <c r="C836" s="899" t="s">
        <v>448</v>
      </c>
      <c r="D836" s="899"/>
      <c r="E836" s="899"/>
      <c r="F836" s="899"/>
      <c r="G836" s="899"/>
    </row>
    <row r="837" spans="1:16" s="129" customFormat="1" ht="30" customHeight="1">
      <c r="A837" s="126"/>
      <c r="B837" s="127"/>
      <c r="C837" s="899" t="s">
        <v>449</v>
      </c>
      <c r="D837" s="899"/>
      <c r="E837" s="899"/>
      <c r="F837" s="899"/>
      <c r="G837" s="899"/>
    </row>
    <row r="838" spans="1:16" s="129" customFormat="1" ht="30.75" customHeight="1">
      <c r="A838" s="126"/>
      <c r="B838" s="127"/>
      <c r="C838" s="899" t="s">
        <v>450</v>
      </c>
      <c r="D838" s="899"/>
      <c r="E838" s="899"/>
      <c r="F838" s="899"/>
      <c r="G838" s="899"/>
    </row>
    <row r="839" spans="1:16" s="129" customFormat="1" ht="42.75" customHeight="1">
      <c r="A839" s="126"/>
      <c r="B839" s="127"/>
      <c r="C839" s="899" t="s">
        <v>451</v>
      </c>
      <c r="D839" s="899"/>
      <c r="E839" s="899"/>
      <c r="F839" s="899"/>
      <c r="G839" s="899"/>
    </row>
    <row r="840" spans="1:16" s="129" customFormat="1" ht="14.25" customHeight="1">
      <c r="A840" s="126"/>
      <c r="B840" s="127"/>
      <c r="C840" s="911"/>
      <c r="D840" s="911"/>
      <c r="E840" s="911"/>
      <c r="F840" s="911"/>
      <c r="G840" s="911"/>
    </row>
    <row r="841" spans="1:16" s="129" customFormat="1">
      <c r="A841" s="126"/>
      <c r="B841" s="127"/>
      <c r="C841" s="899" t="s">
        <v>452</v>
      </c>
      <c r="D841" s="899"/>
      <c r="E841" s="899"/>
      <c r="F841" s="899"/>
      <c r="G841" s="899"/>
    </row>
    <row r="842" spans="1:16" s="129" customFormat="1" ht="13.15">
      <c r="A842" s="162"/>
      <c r="B842" s="136"/>
      <c r="C842" s="164"/>
      <c r="D842" s="241"/>
      <c r="E842" s="242"/>
      <c r="F842" s="149"/>
      <c r="G842" s="140"/>
    </row>
    <row r="843" spans="1:16" s="129" customFormat="1" ht="13.15">
      <c r="A843" s="162"/>
      <c r="B843" s="136"/>
      <c r="C843" s="164"/>
      <c r="D843" s="241"/>
      <c r="E843" s="242"/>
      <c r="F843" s="149"/>
      <c r="G843" s="140"/>
    </row>
    <row r="844" spans="1:16" s="129" customFormat="1" ht="13.15">
      <c r="A844" s="162" t="s">
        <v>121</v>
      </c>
      <c r="B844" s="243"/>
      <c r="C844" s="911" t="s">
        <v>26</v>
      </c>
      <c r="D844" s="911"/>
      <c r="E844" s="911"/>
      <c r="F844" s="911"/>
      <c r="G844" s="911"/>
    </row>
    <row r="845" spans="1:16" s="129" customFormat="1" ht="13.15">
      <c r="A845" s="162"/>
      <c r="B845" s="244"/>
      <c r="C845" s="164"/>
      <c r="D845" s="241"/>
      <c r="E845" s="242"/>
      <c r="F845" s="149"/>
      <c r="G845" s="140"/>
    </row>
    <row r="846" spans="1:16" s="129" customFormat="1" ht="13.15">
      <c r="A846" s="162"/>
      <c r="B846" s="127"/>
      <c r="C846" s="209" t="s">
        <v>27</v>
      </c>
      <c r="D846" s="164"/>
      <c r="E846" s="165"/>
      <c r="F846" s="206"/>
      <c r="G846" s="149"/>
    </row>
    <row r="847" spans="1:16" ht="204">
      <c r="A847" s="162" t="s">
        <v>121</v>
      </c>
      <c r="B847" s="139">
        <v>1</v>
      </c>
      <c r="C847" s="209" t="s">
        <v>1142</v>
      </c>
      <c r="D847" s="146"/>
      <c r="E847" s="442"/>
      <c r="F847" s="385"/>
      <c r="G847" s="385"/>
      <c r="I847" s="134"/>
      <c r="J847" s="134"/>
      <c r="K847" s="134"/>
      <c r="L847" s="134"/>
      <c r="M847" s="134"/>
      <c r="N847" s="134"/>
      <c r="O847" s="134"/>
      <c r="P847" s="134"/>
    </row>
    <row r="848" spans="1:16" ht="13.15">
      <c r="A848" s="211"/>
      <c r="B848" s="146"/>
      <c r="C848" s="205" t="s">
        <v>1959</v>
      </c>
      <c r="D848" s="139" t="s">
        <v>2</v>
      </c>
      <c r="E848" s="385">
        <v>596.54</v>
      </c>
      <c r="F848" s="424">
        <v>26</v>
      </c>
      <c r="G848" s="386">
        <f t="shared" ref="G848" si="61">E848*F848</f>
        <v>15510.039999999999</v>
      </c>
    </row>
    <row r="849" spans="1:16" ht="25.5">
      <c r="A849" s="211"/>
      <c r="B849" s="146"/>
      <c r="C849" s="205" t="s">
        <v>1960</v>
      </c>
      <c r="D849" s="139" t="s">
        <v>2</v>
      </c>
      <c r="E849" s="385">
        <v>80</v>
      </c>
      <c r="F849" s="424">
        <v>26</v>
      </c>
      <c r="G849" s="386">
        <f t="shared" ref="G849" si="62">E849*F849</f>
        <v>2080</v>
      </c>
    </row>
    <row r="850" spans="1:16" ht="13.15">
      <c r="A850" s="211"/>
      <c r="B850" s="146"/>
      <c r="C850" s="205" t="s">
        <v>1961</v>
      </c>
      <c r="D850" s="139" t="s">
        <v>2</v>
      </c>
      <c r="E850" s="385">
        <v>96.59</v>
      </c>
      <c r="F850" s="424">
        <v>34.799999999999997</v>
      </c>
      <c r="G850" s="386">
        <f t="shared" ref="G850" si="63">E850*F850</f>
        <v>3361.3319999999999</v>
      </c>
    </row>
    <row r="851" spans="1:16" ht="25.5">
      <c r="A851" s="211"/>
      <c r="B851" s="146"/>
      <c r="C851" s="205" t="s">
        <v>1962</v>
      </c>
      <c r="D851" s="139" t="s">
        <v>2</v>
      </c>
      <c r="E851" s="385">
        <v>21.69</v>
      </c>
      <c r="F851" s="424">
        <v>26</v>
      </c>
      <c r="G851" s="386">
        <f>E851*F851</f>
        <v>563.94000000000005</v>
      </c>
    </row>
    <row r="852" spans="1:16" ht="13.15">
      <c r="A852" s="211"/>
      <c r="B852" s="146"/>
      <c r="C852" s="245"/>
      <c r="D852" s="146"/>
      <c r="E852" s="399"/>
      <c r="F852" s="385"/>
      <c r="G852" s="385"/>
    </row>
    <row r="853" spans="1:16" ht="76.5">
      <c r="A853" s="211"/>
      <c r="B853" s="146"/>
      <c r="C853" s="208" t="s">
        <v>926</v>
      </c>
      <c r="D853" s="146"/>
      <c r="E853" s="399"/>
      <c r="F853" s="385"/>
      <c r="G853" s="385"/>
      <c r="I853" s="134"/>
      <c r="J853" s="134"/>
      <c r="K853" s="134"/>
      <c r="L853" s="134"/>
      <c r="M853" s="134"/>
      <c r="N853" s="134"/>
      <c r="O853" s="134"/>
      <c r="P853" s="134"/>
    </row>
    <row r="854" spans="1:16" ht="13.15">
      <c r="A854" s="211"/>
      <c r="B854" s="146"/>
      <c r="C854" s="232"/>
      <c r="D854" s="147"/>
      <c r="E854" s="251"/>
      <c r="F854" s="206"/>
      <c r="G854" s="206"/>
    </row>
    <row r="855" spans="1:16" ht="141">
      <c r="A855" s="162" t="s">
        <v>121</v>
      </c>
      <c r="B855" s="139">
        <v>2</v>
      </c>
      <c r="C855" s="205" t="s">
        <v>927</v>
      </c>
      <c r="D855" s="139"/>
      <c r="E855" s="435"/>
      <c r="F855" s="385"/>
      <c r="G855" s="385"/>
    </row>
    <row r="856" spans="1:16" ht="13.15">
      <c r="A856" s="211"/>
      <c r="B856" s="146"/>
      <c r="C856" s="205" t="s">
        <v>1963</v>
      </c>
      <c r="D856" s="139" t="s">
        <v>2</v>
      </c>
      <c r="E856" s="385">
        <v>51.18</v>
      </c>
      <c r="F856" s="424">
        <v>3.6</v>
      </c>
      <c r="G856" s="386">
        <f>E856*F856</f>
        <v>184.24799999999999</v>
      </c>
      <c r="I856" s="916"/>
      <c r="J856" s="916"/>
      <c r="K856" s="916"/>
      <c r="L856" s="916"/>
      <c r="M856" s="916"/>
    </row>
    <row r="857" spans="1:16" ht="15" customHeight="1">
      <c r="A857" s="211"/>
      <c r="B857" s="146"/>
      <c r="C857" s="205" t="s">
        <v>1964</v>
      </c>
      <c r="D857" s="139" t="s">
        <v>2</v>
      </c>
      <c r="E857" s="385">
        <v>21.69</v>
      </c>
      <c r="F857" s="424">
        <v>3.6</v>
      </c>
      <c r="G857" s="386">
        <f t="shared" ref="G857" si="64">E857*F857</f>
        <v>78.084000000000003</v>
      </c>
      <c r="I857" s="134"/>
      <c r="J857" s="134"/>
      <c r="K857" s="134"/>
      <c r="L857" s="134"/>
      <c r="M857" s="134"/>
      <c r="N857" s="134"/>
      <c r="O857" s="134"/>
    </row>
    <row r="858" spans="1:16" ht="13.15">
      <c r="A858" s="211"/>
      <c r="B858" s="146"/>
      <c r="C858" s="246"/>
      <c r="D858" s="139"/>
      <c r="E858" s="399"/>
      <c r="F858" s="385"/>
      <c r="G858" s="385"/>
    </row>
    <row r="859" spans="1:16" ht="38.25">
      <c r="A859" s="211"/>
      <c r="B859" s="146"/>
      <c r="C859" s="208" t="s">
        <v>810</v>
      </c>
      <c r="D859" s="139"/>
      <c r="E859" s="399"/>
      <c r="F859" s="385"/>
      <c r="G859" s="422"/>
      <c r="I859" s="134"/>
      <c r="J859" s="134"/>
      <c r="K859" s="134"/>
      <c r="L859" s="134"/>
      <c r="M859" s="134"/>
      <c r="N859" s="134"/>
    </row>
    <row r="860" spans="1:16" ht="41.25" customHeight="1">
      <c r="A860" s="211"/>
      <c r="B860" s="146"/>
      <c r="C860" s="247"/>
      <c r="D860" s="146"/>
      <c r="E860" s="399"/>
      <c r="F860" s="385"/>
      <c r="G860" s="422"/>
    </row>
    <row r="861" spans="1:16" ht="18" customHeight="1">
      <c r="A861" s="211"/>
      <c r="B861" s="146"/>
      <c r="C861" s="209" t="s">
        <v>28</v>
      </c>
      <c r="D861" s="146"/>
      <c r="E861" s="399"/>
      <c r="F861" s="385"/>
      <c r="G861" s="422"/>
      <c r="I861" s="134"/>
      <c r="J861" s="134"/>
      <c r="K861" s="134"/>
      <c r="L861" s="134"/>
      <c r="M861" s="134"/>
      <c r="N861" s="134"/>
      <c r="O861" s="134"/>
      <c r="P861" s="134"/>
    </row>
    <row r="862" spans="1:16" ht="38.65">
      <c r="A862" s="162" t="s">
        <v>121</v>
      </c>
      <c r="B862" s="139">
        <v>3</v>
      </c>
      <c r="C862" s="136" t="s">
        <v>1145</v>
      </c>
      <c r="D862" s="134"/>
      <c r="E862" s="367"/>
      <c r="F862" s="195"/>
      <c r="G862" s="195"/>
    </row>
    <row r="863" spans="1:16" ht="25.5">
      <c r="A863" s="211"/>
      <c r="B863" s="146"/>
      <c r="C863" s="156" t="s">
        <v>903</v>
      </c>
      <c r="D863" s="146"/>
      <c r="E863" s="399"/>
      <c r="F863" s="385"/>
      <c r="G863" s="422"/>
      <c r="I863" s="134" t="s">
        <v>149</v>
      </c>
      <c r="J863" s="134"/>
      <c r="K863" s="134"/>
      <c r="L863" s="134"/>
      <c r="M863" s="134"/>
      <c r="N863" s="134"/>
    </row>
    <row r="864" spans="1:16" ht="13.15">
      <c r="A864" s="211"/>
      <c r="B864" s="146"/>
      <c r="C864" s="156" t="s">
        <v>50</v>
      </c>
      <c r="D864" s="139" t="s">
        <v>2</v>
      </c>
      <c r="E864" s="385">
        <v>639.26</v>
      </c>
      <c r="F864" s="424">
        <v>10.8</v>
      </c>
      <c r="G864" s="354">
        <f t="shared" ref="G864" si="65">E864*F864</f>
        <v>6904.0080000000007</v>
      </c>
      <c r="I864" s="134"/>
      <c r="J864" s="134"/>
      <c r="K864" s="134"/>
      <c r="L864" s="134"/>
      <c r="M864" s="134"/>
      <c r="N864" s="134"/>
    </row>
    <row r="865" spans="1:15" ht="13.15">
      <c r="A865" s="211"/>
      <c r="B865" s="146"/>
      <c r="C865" s="245"/>
      <c r="D865" s="146"/>
      <c r="E865" s="399"/>
      <c r="F865" s="385"/>
      <c r="G865" s="422"/>
      <c r="I865" s="134"/>
      <c r="J865" s="134"/>
      <c r="K865" s="134"/>
      <c r="L865" s="134"/>
      <c r="M865" s="134"/>
    </row>
    <row r="866" spans="1:15" ht="51.75" customHeight="1">
      <c r="A866" s="211"/>
      <c r="B866" s="146"/>
      <c r="C866" s="248" t="s">
        <v>1938</v>
      </c>
      <c r="D866" s="146"/>
      <c r="E866" s="399"/>
      <c r="F866" s="385"/>
      <c r="G866" s="422"/>
    </row>
    <row r="867" spans="1:15" ht="13.15">
      <c r="A867" s="211"/>
      <c r="B867" s="146"/>
      <c r="C867" s="247"/>
      <c r="D867" s="146"/>
      <c r="E867" s="399"/>
      <c r="F867" s="385"/>
      <c r="G867" s="422"/>
    </row>
    <row r="868" spans="1:15" ht="179.25">
      <c r="A868" s="207" t="s">
        <v>121</v>
      </c>
      <c r="B868" s="139">
        <v>4</v>
      </c>
      <c r="C868" s="156" t="s">
        <v>1020</v>
      </c>
      <c r="D868" s="146"/>
      <c r="E868" s="443"/>
      <c r="F868" s="385"/>
      <c r="G868" s="422"/>
      <c r="I868" s="134"/>
      <c r="J868" s="134"/>
      <c r="K868" s="134"/>
      <c r="L868" s="134"/>
      <c r="M868" s="134"/>
      <c r="N868" s="134"/>
    </row>
    <row r="869" spans="1:15" ht="25.5">
      <c r="A869" s="211"/>
      <c r="B869" s="146"/>
      <c r="C869" s="209" t="s">
        <v>29</v>
      </c>
      <c r="D869" s="139"/>
      <c r="E869" s="385"/>
      <c r="F869" s="385"/>
      <c r="G869" s="422"/>
      <c r="I869" s="134"/>
      <c r="J869" s="134"/>
      <c r="K869" s="134"/>
      <c r="L869" s="134"/>
      <c r="M869" s="134"/>
      <c r="N869" s="134"/>
    </row>
    <row r="870" spans="1:15" ht="13.15">
      <c r="A870" s="211"/>
      <c r="B870" s="146"/>
      <c r="C870" s="156" t="s">
        <v>49</v>
      </c>
      <c r="D870" s="139" t="s">
        <v>2</v>
      </c>
      <c r="E870" s="385">
        <v>720</v>
      </c>
      <c r="F870" s="424">
        <v>23</v>
      </c>
      <c r="G870" s="354">
        <f t="shared" ref="G870" si="66">E870*F870</f>
        <v>16560</v>
      </c>
      <c r="I870" s="134"/>
      <c r="J870" s="134"/>
      <c r="K870" s="134"/>
      <c r="L870" s="134"/>
      <c r="M870" s="134"/>
    </row>
    <row r="871" spans="1:15" ht="13.15">
      <c r="A871" s="211"/>
      <c r="B871" s="146"/>
      <c r="C871" s="245"/>
      <c r="D871" s="146"/>
      <c r="E871" s="399"/>
      <c r="F871" s="385"/>
      <c r="G871" s="422"/>
    </row>
    <row r="872" spans="1:15" ht="63.75">
      <c r="A872" s="211"/>
      <c r="B872" s="146"/>
      <c r="C872" s="249" t="s">
        <v>902</v>
      </c>
      <c r="D872" s="146"/>
      <c r="E872" s="399"/>
      <c r="F872" s="385"/>
      <c r="G872" s="422"/>
    </row>
    <row r="873" spans="1:15" ht="13.15">
      <c r="A873" s="211"/>
      <c r="B873" s="146"/>
      <c r="C873" s="232"/>
      <c r="D873" s="146"/>
      <c r="E873" s="399"/>
      <c r="F873" s="385"/>
      <c r="G873" s="422"/>
    </row>
    <row r="874" spans="1:15" ht="102">
      <c r="A874" s="207" t="s">
        <v>121</v>
      </c>
      <c r="B874" s="139">
        <v>5</v>
      </c>
      <c r="C874" s="156" t="s">
        <v>917</v>
      </c>
      <c r="D874" s="139"/>
      <c r="E874" s="444"/>
      <c r="F874" s="385"/>
      <c r="G874" s="422"/>
    </row>
    <row r="875" spans="1:15" ht="25.5">
      <c r="A875" s="207"/>
      <c r="B875" s="139"/>
      <c r="C875" s="156" t="s">
        <v>916</v>
      </c>
      <c r="D875" s="139" t="s">
        <v>23</v>
      </c>
      <c r="E875" s="385">
        <v>179.08</v>
      </c>
      <c r="F875" s="424">
        <v>39</v>
      </c>
      <c r="G875" s="354">
        <f t="shared" ref="G875" si="67">E875*F875</f>
        <v>6984.1200000000008</v>
      </c>
    </row>
    <row r="876" spans="1:15" ht="13.15">
      <c r="A876" s="211"/>
      <c r="B876" s="146"/>
      <c r="C876" s="245"/>
      <c r="D876" s="146"/>
      <c r="E876" s="399"/>
      <c r="F876" s="385"/>
      <c r="G876" s="422"/>
    </row>
    <row r="877" spans="1:15" ht="63.75">
      <c r="A877" s="211"/>
      <c r="B877" s="146"/>
      <c r="C877" s="250" t="s">
        <v>915</v>
      </c>
      <c r="D877" s="146"/>
      <c r="E877" s="399"/>
      <c r="F877" s="385"/>
      <c r="G877" s="422"/>
      <c r="I877" s="134"/>
      <c r="J877" s="134"/>
      <c r="K877" s="134"/>
      <c r="L877" s="134"/>
      <c r="M877" s="134"/>
    </row>
    <row r="878" spans="1:15" s="26" customFormat="1" ht="13.15">
      <c r="A878" s="211"/>
      <c r="B878" s="134"/>
      <c r="C878" s="147"/>
      <c r="D878" s="399"/>
      <c r="E878" s="445"/>
      <c r="F878" s="422"/>
      <c r="G878" s="422"/>
    </row>
    <row r="879" spans="1:15" s="140" customFormat="1" ht="13.15">
      <c r="A879" s="111"/>
      <c r="B879" s="252"/>
      <c r="C879" s="209" t="s">
        <v>30</v>
      </c>
      <c r="D879" s="446"/>
      <c r="E879" s="300"/>
      <c r="F879" s="300"/>
      <c r="G879" s="300"/>
    </row>
    <row r="880" spans="1:15" s="140" customFormat="1" ht="127.5">
      <c r="A880" s="207" t="s">
        <v>121</v>
      </c>
      <c r="B880" s="139">
        <v>6</v>
      </c>
      <c r="C880" s="156" t="s">
        <v>925</v>
      </c>
      <c r="D880" s="139"/>
      <c r="E880" s="385"/>
      <c r="F880" s="422"/>
      <c r="G880" s="422"/>
      <c r="I880" s="910"/>
      <c r="J880" s="910"/>
      <c r="K880" s="910"/>
      <c r="L880" s="910"/>
      <c r="M880" s="910"/>
      <c r="N880" s="910"/>
      <c r="O880" s="910"/>
    </row>
    <row r="881" spans="1:15" s="24" customFormat="1" ht="13.15">
      <c r="A881" s="207"/>
      <c r="B881" s="139"/>
      <c r="C881" s="156" t="s">
        <v>1997</v>
      </c>
      <c r="D881" s="139" t="s">
        <v>2</v>
      </c>
      <c r="E881" s="385">
        <v>46.34</v>
      </c>
      <c r="F881" s="423">
        <v>26</v>
      </c>
      <c r="G881" s="354">
        <f t="shared" ref="G881" si="68">E881*F881</f>
        <v>1204.8400000000001</v>
      </c>
      <c r="I881" s="910"/>
      <c r="J881" s="910"/>
      <c r="K881" s="910"/>
      <c r="L881" s="910"/>
      <c r="M881" s="910"/>
      <c r="N881" s="910"/>
      <c r="O881" s="910"/>
    </row>
    <row r="882" spans="1:15" s="24" customFormat="1" ht="13.15">
      <c r="A882" s="207"/>
      <c r="B882" s="139"/>
      <c r="C882" s="246"/>
      <c r="D882" s="139"/>
      <c r="E882" s="385"/>
      <c r="F882" s="385"/>
      <c r="G882" s="422"/>
    </row>
    <row r="883" spans="1:15" s="24" customFormat="1" ht="51">
      <c r="A883" s="207"/>
      <c r="B883" s="139"/>
      <c r="C883" s="250" t="s">
        <v>1932</v>
      </c>
      <c r="D883" s="139"/>
      <c r="E883" s="385"/>
      <c r="F883" s="385"/>
      <c r="G883" s="422"/>
    </row>
    <row r="884" spans="1:15" s="26" customFormat="1" ht="13.15">
      <c r="A884" s="117"/>
      <c r="B884" s="253"/>
      <c r="C884" s="50"/>
      <c r="D884" s="254"/>
      <c r="E884" s="30"/>
      <c r="F884" s="29"/>
      <c r="G884" s="29"/>
    </row>
    <row r="885" spans="1:15" s="21" customFormat="1" ht="13.15">
      <c r="A885" s="117"/>
      <c r="B885" s="107"/>
      <c r="C885" s="50"/>
      <c r="D885" s="50"/>
      <c r="E885" s="44"/>
      <c r="F885" s="29"/>
      <c r="G885" s="29"/>
    </row>
    <row r="886" spans="1:15" s="140" customFormat="1" ht="13.15">
      <c r="A886" s="207" t="s">
        <v>121</v>
      </c>
      <c r="B886" s="252"/>
      <c r="C886" s="217" t="s">
        <v>103</v>
      </c>
      <c r="D886" s="255"/>
      <c r="E886" s="219"/>
      <c r="F886" s="219"/>
      <c r="G886" s="219">
        <f>SUM(G848:G881)</f>
        <v>53430.612000000008</v>
      </c>
    </row>
    <row r="887" spans="1:15" s="140" customFormat="1" ht="13.15">
      <c r="A887" s="111"/>
      <c r="B887" s="32"/>
      <c r="C887" s="36"/>
      <c r="D887" s="203"/>
      <c r="E887" s="25"/>
      <c r="F887" s="29"/>
      <c r="G887" s="24"/>
    </row>
    <row r="888" spans="1:15" s="140" customFormat="1" ht="13.15">
      <c r="A888" s="111"/>
      <c r="B888" s="32"/>
      <c r="C888" s="36"/>
      <c r="D888" s="203"/>
      <c r="E888" s="25"/>
      <c r="F888" s="29"/>
      <c r="G888" s="24"/>
    </row>
    <row r="889" spans="1:15" s="140" customFormat="1" ht="13.15">
      <c r="A889" s="207" t="s">
        <v>122</v>
      </c>
      <c r="B889" s="139"/>
      <c r="C889" s="923" t="s">
        <v>1133</v>
      </c>
      <c r="D889" s="923"/>
      <c r="E889" s="923"/>
      <c r="F889" s="923"/>
      <c r="G889" s="923"/>
    </row>
    <row r="890" spans="1:15" s="140" customFormat="1">
      <c r="A890" s="138"/>
      <c r="B890" s="139"/>
      <c r="C890" s="913" t="s">
        <v>392</v>
      </c>
      <c r="D890" s="913"/>
      <c r="E890" s="913"/>
      <c r="F890" s="913"/>
      <c r="G890" s="913"/>
    </row>
    <row r="891" spans="1:15" s="129" customFormat="1">
      <c r="A891" s="126"/>
      <c r="B891" s="127"/>
      <c r="C891" s="899" t="s">
        <v>453</v>
      </c>
      <c r="D891" s="899"/>
      <c r="E891" s="899"/>
      <c r="F891" s="899"/>
      <c r="G891" s="899"/>
    </row>
    <row r="892" spans="1:15" s="21" customFormat="1">
      <c r="A892" s="121"/>
      <c r="B892" s="122"/>
      <c r="C892" s="912"/>
      <c r="D892" s="912"/>
      <c r="E892" s="912"/>
      <c r="F892" s="912"/>
      <c r="G892" s="912"/>
    </row>
    <row r="893" spans="1:15" s="129" customFormat="1">
      <c r="A893" s="126"/>
      <c r="B893" s="127"/>
      <c r="C893" s="915" t="s">
        <v>394</v>
      </c>
      <c r="D893" s="915"/>
      <c r="E893" s="915"/>
      <c r="F893" s="915"/>
      <c r="G893" s="915"/>
    </row>
    <row r="894" spans="1:15" s="129" customFormat="1">
      <c r="A894" s="126"/>
      <c r="B894" s="127"/>
      <c r="C894" s="899" t="s">
        <v>454</v>
      </c>
      <c r="D894" s="899"/>
      <c r="E894" s="899"/>
      <c r="F894" s="899"/>
      <c r="G894" s="899"/>
    </row>
    <row r="895" spans="1:15" s="129" customFormat="1">
      <c r="A895" s="126"/>
      <c r="B895" s="127"/>
      <c r="C895" s="899" t="s">
        <v>455</v>
      </c>
      <c r="D895" s="899"/>
      <c r="E895" s="899"/>
      <c r="F895" s="899"/>
      <c r="G895" s="899"/>
    </row>
    <row r="896" spans="1:15" s="129" customFormat="1" ht="25.5" customHeight="1">
      <c r="A896" s="126"/>
      <c r="B896" s="127"/>
      <c r="C896" s="899" t="s">
        <v>456</v>
      </c>
      <c r="D896" s="899"/>
      <c r="E896" s="899"/>
      <c r="F896" s="899"/>
      <c r="G896" s="899"/>
    </row>
    <row r="897" spans="1:18" s="129" customFormat="1" ht="25.5" customHeight="1">
      <c r="A897" s="126"/>
      <c r="B897" s="127"/>
      <c r="C897" s="899" t="s">
        <v>457</v>
      </c>
      <c r="D897" s="899"/>
      <c r="E897" s="899"/>
      <c r="F897" s="899"/>
      <c r="G897" s="899"/>
    </row>
    <row r="898" spans="1:18" s="129" customFormat="1" ht="25.5" customHeight="1">
      <c r="A898" s="126"/>
      <c r="B898" s="127"/>
      <c r="C898" s="899" t="s">
        <v>458</v>
      </c>
      <c r="D898" s="899"/>
      <c r="E898" s="899"/>
      <c r="F898" s="899"/>
      <c r="G898" s="899"/>
      <c r="I898" s="132"/>
      <c r="J898" s="132"/>
      <c r="K898" s="132"/>
      <c r="L898" s="132"/>
      <c r="M898" s="132"/>
      <c r="N898" s="132"/>
      <c r="O898" s="132"/>
      <c r="P898" s="132"/>
      <c r="Q898" s="132"/>
      <c r="R898" s="132"/>
    </row>
    <row r="899" spans="1:18" s="129" customFormat="1" ht="25.5" customHeight="1">
      <c r="A899" s="126"/>
      <c r="B899" s="127"/>
      <c r="C899" s="899" t="s">
        <v>459</v>
      </c>
      <c r="D899" s="899"/>
      <c r="E899" s="899"/>
      <c r="F899" s="899"/>
      <c r="G899" s="899"/>
      <c r="I899" s="132"/>
      <c r="J899" s="132"/>
      <c r="K899" s="132"/>
      <c r="L899" s="132"/>
      <c r="M899" s="132"/>
      <c r="N899" s="132"/>
      <c r="O899" s="132"/>
      <c r="P899" s="132"/>
      <c r="Q899" s="132"/>
      <c r="R899" s="132"/>
    </row>
    <row r="900" spans="1:18" s="129" customFormat="1" ht="25.5" customHeight="1">
      <c r="A900" s="126"/>
      <c r="B900" s="127"/>
      <c r="C900" s="899" t="s">
        <v>460</v>
      </c>
      <c r="D900" s="899"/>
      <c r="E900" s="899"/>
      <c r="F900" s="899"/>
      <c r="G900" s="899"/>
      <c r="I900" s="132"/>
      <c r="J900" s="132"/>
      <c r="K900" s="132"/>
      <c r="L900" s="132"/>
      <c r="M900" s="132"/>
      <c r="N900" s="132"/>
      <c r="O900" s="132"/>
      <c r="P900" s="132"/>
      <c r="Q900" s="132"/>
      <c r="R900" s="132"/>
    </row>
    <row r="901" spans="1:18" s="129" customFormat="1" ht="25.5" customHeight="1">
      <c r="A901" s="126"/>
      <c r="B901" s="127"/>
      <c r="C901" s="899" t="s">
        <v>461</v>
      </c>
      <c r="D901" s="899"/>
      <c r="E901" s="899"/>
      <c r="F901" s="899"/>
      <c r="G901" s="899"/>
      <c r="I901" s="132"/>
      <c r="J901" s="132"/>
      <c r="K901" s="132"/>
      <c r="L901" s="132"/>
      <c r="M901" s="132"/>
      <c r="N901" s="132"/>
      <c r="O901" s="132"/>
      <c r="P901" s="132"/>
      <c r="Q901" s="132"/>
      <c r="R901" s="132"/>
    </row>
    <row r="902" spans="1:18" s="129" customFormat="1" ht="25.5" customHeight="1">
      <c r="A902" s="126"/>
      <c r="B902" s="127"/>
      <c r="C902" s="899" t="s">
        <v>462</v>
      </c>
      <c r="D902" s="899"/>
      <c r="E902" s="899"/>
      <c r="F902" s="899"/>
      <c r="G902" s="899"/>
      <c r="I902" s="132"/>
      <c r="J902" s="132"/>
      <c r="K902" s="132"/>
      <c r="L902" s="132"/>
      <c r="M902" s="132"/>
      <c r="N902" s="132"/>
      <c r="O902" s="132"/>
      <c r="P902" s="132"/>
      <c r="Q902" s="132"/>
      <c r="R902" s="132"/>
    </row>
    <row r="903" spans="1:18" s="129" customFormat="1" ht="25.5" customHeight="1">
      <c r="A903" s="126"/>
      <c r="B903" s="127"/>
      <c r="C903" s="899" t="s">
        <v>463</v>
      </c>
      <c r="D903" s="899"/>
      <c r="E903" s="899"/>
      <c r="F903" s="899"/>
      <c r="G903" s="899"/>
      <c r="I903" s="132"/>
      <c r="J903" s="132"/>
      <c r="K903" s="132"/>
      <c r="L903" s="132"/>
      <c r="M903" s="132"/>
      <c r="N903" s="132"/>
      <c r="O903" s="132"/>
      <c r="P903" s="132"/>
      <c r="Q903" s="132"/>
      <c r="R903" s="132"/>
    </row>
    <row r="904" spans="1:18" s="129" customFormat="1" ht="25.5" customHeight="1">
      <c r="A904" s="126"/>
      <c r="B904" s="127"/>
      <c r="C904" s="899" t="s">
        <v>464</v>
      </c>
      <c r="D904" s="899"/>
      <c r="E904" s="899"/>
      <c r="F904" s="899"/>
      <c r="G904" s="899"/>
      <c r="I904" s="132"/>
      <c r="J904" s="132"/>
      <c r="K904" s="132"/>
      <c r="L904" s="132"/>
      <c r="M904" s="132"/>
      <c r="N904" s="132"/>
      <c r="O904" s="132"/>
      <c r="P904" s="132"/>
      <c r="Q904" s="132"/>
      <c r="R904" s="132"/>
    </row>
    <row r="905" spans="1:18" s="129" customFormat="1" ht="25.5" customHeight="1">
      <c r="A905" s="126"/>
      <c r="B905" s="127"/>
      <c r="C905" s="899" t="s">
        <v>465</v>
      </c>
      <c r="D905" s="899"/>
      <c r="E905" s="899"/>
      <c r="F905" s="899"/>
      <c r="G905" s="899"/>
      <c r="I905" s="132"/>
      <c r="J905" s="132"/>
      <c r="K905" s="132"/>
      <c r="L905" s="132"/>
      <c r="M905" s="132"/>
      <c r="N905" s="132"/>
      <c r="O905" s="132"/>
      <c r="P905" s="132"/>
      <c r="Q905" s="132"/>
      <c r="R905" s="132"/>
    </row>
    <row r="906" spans="1:18" s="129" customFormat="1" ht="25.5" customHeight="1">
      <c r="A906" s="126"/>
      <c r="B906" s="127"/>
      <c r="C906" s="899" t="s">
        <v>466</v>
      </c>
      <c r="D906" s="899"/>
      <c r="E906" s="899"/>
      <c r="F906" s="899"/>
      <c r="G906" s="899"/>
      <c r="I906" s="132"/>
      <c r="J906" s="132"/>
      <c r="K906" s="132"/>
      <c r="L906" s="132"/>
      <c r="M906" s="132"/>
      <c r="N906" s="132"/>
      <c r="O906" s="132"/>
      <c r="P906" s="132"/>
      <c r="Q906" s="132"/>
      <c r="R906" s="132"/>
    </row>
    <row r="907" spans="1:18" s="129" customFormat="1" ht="25.5" customHeight="1">
      <c r="A907" s="126"/>
      <c r="B907" s="127"/>
      <c r="C907" s="899" t="s">
        <v>467</v>
      </c>
      <c r="D907" s="899"/>
      <c r="E907" s="899"/>
      <c r="F907" s="899"/>
      <c r="G907" s="899"/>
      <c r="I907" s="132"/>
      <c r="J907" s="132"/>
      <c r="K907" s="132"/>
      <c r="L907" s="132"/>
      <c r="M907" s="132"/>
      <c r="N907" s="132"/>
      <c r="O907" s="132"/>
      <c r="P907" s="132"/>
      <c r="Q907" s="132"/>
      <c r="R907" s="132"/>
    </row>
    <row r="908" spans="1:18" s="129" customFormat="1" ht="25.5" customHeight="1">
      <c r="A908" s="126"/>
      <c r="B908" s="127"/>
      <c r="C908" s="899" t="s">
        <v>468</v>
      </c>
      <c r="D908" s="899"/>
      <c r="E908" s="899"/>
      <c r="F908" s="899"/>
      <c r="G908" s="899"/>
      <c r="I908" s="132"/>
      <c r="J908" s="132"/>
      <c r="K908" s="132"/>
      <c r="L908" s="132"/>
      <c r="M908" s="132"/>
      <c r="N908" s="132"/>
      <c r="O908" s="132"/>
      <c r="P908" s="132"/>
      <c r="Q908" s="132"/>
      <c r="R908" s="132"/>
    </row>
    <row r="909" spans="1:18" s="129" customFormat="1" ht="25.5" customHeight="1">
      <c r="A909" s="126"/>
      <c r="B909" s="127"/>
      <c r="C909" s="899" t="s">
        <v>469</v>
      </c>
      <c r="D909" s="899"/>
      <c r="E909" s="899"/>
      <c r="F909" s="899"/>
      <c r="G909" s="899"/>
      <c r="I909" s="132"/>
      <c r="J909" s="132"/>
      <c r="K909" s="132"/>
      <c r="L909" s="132"/>
      <c r="M909" s="132"/>
      <c r="N909" s="132"/>
      <c r="O909" s="132"/>
      <c r="P909" s="132"/>
      <c r="Q909" s="132"/>
      <c r="R909" s="132"/>
    </row>
    <row r="910" spans="1:18" s="129" customFormat="1" ht="25.5" customHeight="1">
      <c r="A910" s="126"/>
      <c r="B910" s="127"/>
      <c r="C910" s="899" t="s">
        <v>470</v>
      </c>
      <c r="D910" s="899"/>
      <c r="E910" s="899"/>
      <c r="F910" s="899"/>
      <c r="G910" s="899"/>
      <c r="I910" s="132"/>
      <c r="J910" s="132"/>
      <c r="K910" s="132"/>
      <c r="L910" s="132"/>
      <c r="M910" s="132"/>
      <c r="N910" s="132"/>
      <c r="O910" s="132"/>
      <c r="P910" s="132"/>
      <c r="Q910" s="132"/>
      <c r="R910" s="132"/>
    </row>
    <row r="911" spans="1:18" s="129" customFormat="1" ht="25.5" customHeight="1">
      <c r="A911" s="126"/>
      <c r="B911" s="127"/>
      <c r="C911" s="899" t="s">
        <v>471</v>
      </c>
      <c r="D911" s="899"/>
      <c r="E911" s="899"/>
      <c r="F911" s="899"/>
      <c r="G911" s="899"/>
      <c r="I911" s="132"/>
      <c r="J911" s="132"/>
      <c r="K911" s="132"/>
      <c r="L911" s="132"/>
      <c r="M911" s="132"/>
      <c r="N911" s="132"/>
      <c r="O911" s="132"/>
      <c r="P911" s="132"/>
      <c r="Q911" s="132"/>
      <c r="R911" s="132"/>
    </row>
    <row r="912" spans="1:18" s="129" customFormat="1" ht="25.5" customHeight="1">
      <c r="A912" s="126"/>
      <c r="B912" s="127"/>
      <c r="C912" s="899" t="s">
        <v>472</v>
      </c>
      <c r="D912" s="899"/>
      <c r="E912" s="899"/>
      <c r="F912" s="899"/>
      <c r="G912" s="899"/>
      <c r="I912" s="132"/>
      <c r="J912" s="132"/>
      <c r="K912" s="132"/>
      <c r="L912" s="132"/>
      <c r="M912" s="132"/>
      <c r="N912" s="132"/>
      <c r="O912" s="132"/>
      <c r="P912" s="132"/>
      <c r="Q912" s="132"/>
      <c r="R912" s="132"/>
    </row>
    <row r="913" spans="1:18" s="129" customFormat="1" ht="24.75" customHeight="1">
      <c r="A913" s="126"/>
      <c r="B913" s="127"/>
      <c r="C913" s="899" t="s">
        <v>473</v>
      </c>
      <c r="D913" s="899"/>
      <c r="E913" s="899"/>
      <c r="F913" s="899"/>
      <c r="G913" s="899"/>
      <c r="I913" s="132"/>
      <c r="J913" s="132"/>
      <c r="K913" s="132"/>
      <c r="L913" s="132"/>
      <c r="M913" s="132"/>
      <c r="N913" s="132"/>
      <c r="O913" s="132"/>
      <c r="P913" s="132"/>
      <c r="Q913" s="132"/>
      <c r="R913" s="132"/>
    </row>
    <row r="914" spans="1:18" s="129" customFormat="1" ht="29.25" customHeight="1">
      <c r="A914" s="126"/>
      <c r="B914" s="127"/>
      <c r="C914" s="899" t="s">
        <v>474</v>
      </c>
      <c r="D914" s="899"/>
      <c r="E914" s="899"/>
      <c r="F914" s="899"/>
      <c r="G914" s="899"/>
      <c r="I914" s="132"/>
      <c r="J914" s="132"/>
      <c r="K914" s="132"/>
      <c r="L914" s="132"/>
      <c r="M914" s="132"/>
      <c r="N914" s="132"/>
      <c r="O914" s="132"/>
      <c r="P914" s="132"/>
      <c r="Q914" s="132"/>
      <c r="R914" s="132"/>
    </row>
    <row r="915" spans="1:18" s="129" customFormat="1" ht="29.25" customHeight="1">
      <c r="A915" s="126"/>
      <c r="B915" s="127"/>
      <c r="C915" s="899" t="s">
        <v>475</v>
      </c>
      <c r="D915" s="899"/>
      <c r="E915" s="899"/>
      <c r="F915" s="899"/>
      <c r="G915" s="899"/>
      <c r="I915" s="132"/>
      <c r="J915" s="132"/>
      <c r="K915" s="132"/>
      <c r="L915" s="132"/>
      <c r="M915" s="132"/>
      <c r="N915" s="132"/>
      <c r="O915" s="132"/>
      <c r="P915" s="132"/>
      <c r="Q915" s="132"/>
      <c r="R915" s="132"/>
    </row>
    <row r="916" spans="1:18" s="129" customFormat="1" ht="27" customHeight="1">
      <c r="A916" s="126"/>
      <c r="B916" s="127"/>
      <c r="C916" s="899" t="s">
        <v>476</v>
      </c>
      <c r="D916" s="899"/>
      <c r="E916" s="899"/>
      <c r="F916" s="899"/>
      <c r="G916" s="899"/>
      <c r="I916" s="132"/>
      <c r="J916" s="132"/>
      <c r="K916" s="132"/>
      <c r="L916" s="132"/>
      <c r="M916" s="132"/>
      <c r="N916" s="132"/>
      <c r="O916" s="132"/>
      <c r="P916" s="132"/>
      <c r="Q916" s="132"/>
      <c r="R916" s="132"/>
    </row>
    <row r="917" spans="1:18" s="129" customFormat="1" ht="30.75" customHeight="1">
      <c r="A917" s="126"/>
      <c r="B917" s="127"/>
      <c r="C917" s="899" t="s">
        <v>477</v>
      </c>
      <c r="D917" s="899"/>
      <c r="E917" s="899"/>
      <c r="F917" s="899"/>
      <c r="G917" s="899"/>
      <c r="I917" s="132"/>
      <c r="J917" s="132"/>
      <c r="K917" s="132"/>
      <c r="L917" s="132"/>
      <c r="M917" s="132"/>
      <c r="N917" s="132"/>
      <c r="O917" s="132"/>
      <c r="P917" s="132"/>
      <c r="Q917" s="132"/>
      <c r="R917" s="132"/>
    </row>
    <row r="918" spans="1:18" s="129" customFormat="1" ht="27" customHeight="1">
      <c r="A918" s="126"/>
      <c r="B918" s="127"/>
      <c r="C918" s="899" t="s">
        <v>478</v>
      </c>
      <c r="D918" s="899"/>
      <c r="E918" s="899"/>
      <c r="F918" s="899"/>
      <c r="G918" s="899"/>
      <c r="I918" s="132"/>
      <c r="J918" s="132"/>
      <c r="K918" s="132"/>
      <c r="L918" s="132"/>
      <c r="M918" s="132"/>
      <c r="N918" s="132"/>
      <c r="O918" s="132"/>
      <c r="P918" s="132"/>
      <c r="Q918" s="132"/>
      <c r="R918" s="132"/>
    </row>
    <row r="919" spans="1:18" s="129" customFormat="1" ht="23.25" customHeight="1">
      <c r="A919" s="126"/>
      <c r="B919" s="127"/>
      <c r="C919" s="899" t="s">
        <v>479</v>
      </c>
      <c r="D919" s="899"/>
      <c r="E919" s="899"/>
      <c r="F919" s="899"/>
      <c r="G919" s="899"/>
    </row>
    <row r="920" spans="1:18" s="129" customFormat="1">
      <c r="A920" s="126"/>
      <c r="B920" s="127"/>
      <c r="C920" s="899" t="s">
        <v>480</v>
      </c>
      <c r="D920" s="899"/>
      <c r="E920" s="899"/>
      <c r="F920" s="899"/>
      <c r="G920" s="899"/>
    </row>
    <row r="921" spans="1:18" s="21" customFormat="1">
      <c r="A921" s="121"/>
      <c r="B921" s="122"/>
      <c r="C921" s="123"/>
      <c r="D921" s="123"/>
      <c r="E921" s="124"/>
      <c r="F921" s="125"/>
      <c r="G921" s="125"/>
    </row>
    <row r="922" spans="1:18" s="129" customFormat="1" ht="18" customHeight="1">
      <c r="A922" s="126"/>
      <c r="B922" s="127"/>
      <c r="C922" s="922" t="s">
        <v>481</v>
      </c>
      <c r="D922" s="922"/>
      <c r="E922" s="922"/>
      <c r="F922" s="922"/>
      <c r="G922" s="922"/>
    </row>
    <row r="923" spans="1:18" s="129" customFormat="1" ht="18.75" customHeight="1">
      <c r="A923" s="126"/>
      <c r="B923" s="127"/>
      <c r="C923" s="922" t="s">
        <v>907</v>
      </c>
      <c r="D923" s="922"/>
      <c r="E923" s="922"/>
      <c r="F923" s="922"/>
      <c r="G923" s="922"/>
    </row>
    <row r="924" spans="1:18" s="129" customFormat="1" ht="16.5" customHeight="1">
      <c r="A924" s="126"/>
      <c r="B924" s="127"/>
      <c r="C924" s="922" t="s">
        <v>482</v>
      </c>
      <c r="D924" s="922"/>
      <c r="E924" s="922"/>
      <c r="F924" s="922"/>
      <c r="G924" s="922"/>
    </row>
    <row r="925" spans="1:18" s="129" customFormat="1" ht="31.5" customHeight="1">
      <c r="A925" s="126"/>
      <c r="B925" s="127"/>
      <c r="C925" s="922" t="s">
        <v>483</v>
      </c>
      <c r="D925" s="922"/>
      <c r="E925" s="922"/>
      <c r="F925" s="922"/>
      <c r="G925" s="922"/>
    </row>
    <row r="926" spans="1:18" s="129" customFormat="1" ht="20.25" customHeight="1">
      <c r="A926" s="126"/>
      <c r="B926" s="127"/>
      <c r="C926" s="922" t="s">
        <v>484</v>
      </c>
      <c r="D926" s="922"/>
      <c r="E926" s="922"/>
      <c r="F926" s="922"/>
      <c r="G926" s="922"/>
    </row>
    <row r="927" spans="1:18" s="129" customFormat="1" ht="56.25" customHeight="1">
      <c r="A927" s="126"/>
      <c r="B927" s="127"/>
      <c r="C927" s="922" t="s">
        <v>485</v>
      </c>
      <c r="D927" s="922"/>
      <c r="E927" s="922"/>
      <c r="F927" s="922"/>
      <c r="G927" s="922"/>
    </row>
    <row r="928" spans="1:18" s="129" customFormat="1" ht="46.5" customHeight="1">
      <c r="A928" s="126"/>
      <c r="B928" s="127"/>
      <c r="C928" s="922" t="s">
        <v>908</v>
      </c>
      <c r="D928" s="922"/>
      <c r="E928" s="922"/>
      <c r="F928" s="922"/>
      <c r="G928" s="922"/>
    </row>
    <row r="929" spans="1:7" s="129" customFormat="1" ht="34.5" customHeight="1">
      <c r="A929" s="126"/>
      <c r="B929" s="127"/>
      <c r="C929" s="922" t="s">
        <v>486</v>
      </c>
      <c r="D929" s="922"/>
      <c r="E929" s="922"/>
      <c r="F929" s="922"/>
      <c r="G929" s="922"/>
    </row>
    <row r="930" spans="1:7">
      <c r="A930" s="121"/>
      <c r="B930" s="122"/>
      <c r="C930" s="133"/>
      <c r="D930" s="133"/>
      <c r="E930" s="256"/>
      <c r="F930" s="137"/>
      <c r="G930" s="137"/>
    </row>
    <row r="931" spans="1:7" s="129" customFormat="1" ht="45.75" customHeight="1">
      <c r="A931" s="126"/>
      <c r="B931" s="127"/>
      <c r="C931" s="922" t="s">
        <v>811</v>
      </c>
      <c r="D931" s="922"/>
      <c r="E931" s="922"/>
      <c r="F931" s="922"/>
      <c r="G931" s="922"/>
    </row>
    <row r="932" spans="1:7" s="129" customFormat="1" ht="74.25" customHeight="1">
      <c r="A932" s="126"/>
      <c r="B932" s="127"/>
      <c r="C932" s="899" t="s">
        <v>487</v>
      </c>
      <c r="D932" s="899"/>
      <c r="E932" s="899"/>
      <c r="F932" s="899"/>
      <c r="G932" s="899"/>
    </row>
    <row r="933" spans="1:7">
      <c r="A933" s="121"/>
      <c r="B933" s="122"/>
      <c r="C933" s="123"/>
      <c r="D933" s="123"/>
      <c r="E933" s="124"/>
      <c r="F933" s="125"/>
      <c r="G933" s="125"/>
    </row>
    <row r="934" spans="1:7" s="129" customFormat="1" ht="71.25" customHeight="1">
      <c r="A934" s="126"/>
      <c r="B934" s="127"/>
      <c r="C934" s="899" t="s">
        <v>488</v>
      </c>
      <c r="D934" s="899"/>
      <c r="E934" s="899"/>
      <c r="F934" s="899"/>
      <c r="G934" s="899"/>
    </row>
    <row r="935" spans="1:7" s="26" customFormat="1" ht="14.25" customHeight="1">
      <c r="A935" s="211"/>
      <c r="B935" s="257"/>
      <c r="C935" s="147"/>
      <c r="D935" s="258"/>
      <c r="E935" s="210"/>
      <c r="F935" s="149"/>
      <c r="G935" s="140"/>
    </row>
    <row r="936" spans="1:7" s="26" customFormat="1" ht="14.25" customHeight="1">
      <c r="A936" s="211"/>
      <c r="B936" s="257"/>
      <c r="C936" s="147"/>
      <c r="D936" s="258"/>
      <c r="E936" s="210"/>
      <c r="F936" s="149"/>
      <c r="G936" s="140"/>
    </row>
    <row r="937" spans="1:7" s="140" customFormat="1" ht="13.15">
      <c r="A937" s="207" t="s">
        <v>122</v>
      </c>
      <c r="B937" s="259"/>
      <c r="C937" s="923" t="s">
        <v>1133</v>
      </c>
      <c r="D937" s="923"/>
      <c r="E937" s="923"/>
      <c r="F937" s="923"/>
      <c r="G937" s="923"/>
    </row>
    <row r="938" spans="1:7" s="24" customFormat="1" ht="13.15">
      <c r="A938" s="207"/>
      <c r="B938" s="259"/>
      <c r="C938" s="138" t="s">
        <v>25</v>
      </c>
      <c r="D938" s="260"/>
      <c r="E938" s="261"/>
      <c r="F938" s="193"/>
      <c r="G938" s="193"/>
    </row>
    <row r="939" spans="1:7" s="140" customFormat="1" ht="25.5">
      <c r="A939" s="207"/>
      <c r="B939" s="259"/>
      <c r="C939" s="137" t="s">
        <v>914</v>
      </c>
      <c r="D939" s="260"/>
      <c r="E939" s="369"/>
      <c r="F939" s="369"/>
      <c r="G939" s="369"/>
    </row>
    <row r="940" spans="1:7" ht="13.15">
      <c r="A940" s="211"/>
      <c r="B940" s="257"/>
      <c r="C940" s="134"/>
      <c r="D940" s="262"/>
      <c r="E940" s="370"/>
      <c r="F940" s="369"/>
      <c r="G940" s="369"/>
    </row>
    <row r="941" spans="1:7" s="24" customFormat="1" ht="13.15">
      <c r="A941" s="207"/>
      <c r="B941" s="259"/>
      <c r="C941" s="138" t="s">
        <v>70</v>
      </c>
      <c r="D941" s="260"/>
      <c r="E941" s="369"/>
      <c r="F941" s="369"/>
      <c r="G941" s="369"/>
    </row>
    <row r="942" spans="1:7" s="26" customFormat="1" ht="172.5" customHeight="1">
      <c r="A942" s="207" t="s">
        <v>122</v>
      </c>
      <c r="B942" s="263">
        <v>1</v>
      </c>
      <c r="C942" s="137" t="s">
        <v>1146</v>
      </c>
      <c r="D942" s="236" t="s">
        <v>2</v>
      </c>
      <c r="E942" s="110">
        <v>505.57</v>
      </c>
      <c r="F942" s="353"/>
      <c r="G942" s="333">
        <f t="shared" ref="G942" si="69">E942*F942</f>
        <v>0</v>
      </c>
    </row>
    <row r="943" spans="1:7" s="26" customFormat="1" ht="13.15">
      <c r="A943" s="207"/>
      <c r="B943" s="139"/>
      <c r="C943" s="245"/>
      <c r="D943" s="147"/>
      <c r="E943" s="251"/>
      <c r="F943" s="206"/>
      <c r="G943" s="206"/>
    </row>
    <row r="944" spans="1:7" s="26" customFormat="1" ht="25.5">
      <c r="A944" s="207"/>
      <c r="B944" s="139"/>
      <c r="C944" s="208" t="s">
        <v>1930</v>
      </c>
      <c r="E944" s="44"/>
      <c r="F944" s="44"/>
      <c r="G944" s="44"/>
    </row>
    <row r="945" spans="1:18" s="26" customFormat="1" ht="13.15">
      <c r="A945" s="111"/>
      <c r="B945" s="263"/>
      <c r="C945" s="134"/>
      <c r="D945" s="233"/>
      <c r="E945" s="44"/>
      <c r="F945" s="110"/>
      <c r="G945" s="110"/>
    </row>
    <row r="946" spans="1:18" ht="13.15">
      <c r="A946" s="207"/>
      <c r="B946" s="259"/>
      <c r="C946" s="145"/>
      <c r="D946" s="233"/>
      <c r="E946" s="251"/>
      <c r="F946" s="206"/>
      <c r="G946" s="206"/>
    </row>
    <row r="947" spans="1:18" ht="13.15">
      <c r="A947" s="207"/>
      <c r="B947" s="259"/>
      <c r="C947" s="156" t="s">
        <v>947</v>
      </c>
      <c r="D947" s="262"/>
      <c r="E947" s="370"/>
      <c r="F947" s="369"/>
      <c r="G947" s="369"/>
    </row>
    <row r="948" spans="1:18" ht="166.9">
      <c r="A948" s="207" t="s">
        <v>122</v>
      </c>
      <c r="B948" s="259">
        <v>2</v>
      </c>
      <c r="C948" s="135" t="s">
        <v>1147</v>
      </c>
      <c r="D948" s="236" t="s">
        <v>2</v>
      </c>
      <c r="E948" s="206">
        <v>24.58</v>
      </c>
      <c r="F948" s="371"/>
      <c r="G948" s="333">
        <f t="shared" ref="G948" si="70">E948*F948</f>
        <v>0</v>
      </c>
    </row>
    <row r="949" spans="1:18" ht="13.15">
      <c r="A949" s="211"/>
      <c r="B949" s="146"/>
      <c r="C949" s="245"/>
      <c r="D949" s="147"/>
      <c r="E949" s="148"/>
      <c r="F949" s="206"/>
      <c r="G949" s="149"/>
    </row>
    <row r="950" spans="1:18" ht="25.5">
      <c r="A950" s="211"/>
      <c r="B950" s="146"/>
      <c r="C950" s="208" t="s">
        <v>1931</v>
      </c>
      <c r="D950" s="147"/>
      <c r="E950" s="251"/>
      <c r="F950" s="206"/>
      <c r="G950" s="149"/>
    </row>
    <row r="951" spans="1:18" ht="13.15">
      <c r="A951" s="211"/>
      <c r="B951" s="257"/>
      <c r="C951" s="265"/>
      <c r="D951" s="262"/>
      <c r="E951" s="372"/>
      <c r="F951" s="267"/>
      <c r="G951" s="267"/>
    </row>
    <row r="952" spans="1:18" s="21" customFormat="1" ht="13.15">
      <c r="A952" s="211"/>
      <c r="B952" s="257"/>
      <c r="C952" s="134"/>
      <c r="D952" s="262"/>
      <c r="E952" s="372"/>
      <c r="F952" s="267"/>
      <c r="G952" s="267"/>
    </row>
    <row r="953" spans="1:18" s="129" customFormat="1" ht="13.15">
      <c r="A953" s="162" t="s">
        <v>122</v>
      </c>
      <c r="B953" s="131"/>
      <c r="C953" s="217" t="s">
        <v>104</v>
      </c>
      <c r="D953" s="220"/>
      <c r="E953" s="373"/>
      <c r="F953" s="219"/>
      <c r="G953" s="219">
        <f>SUM(G942:G948)</f>
        <v>0</v>
      </c>
    </row>
    <row r="954" spans="1:18" s="129" customFormat="1" ht="13.15">
      <c r="A954" s="162"/>
      <c r="B954" s="131"/>
      <c r="C954" s="136"/>
      <c r="D954" s="266"/>
      <c r="E954" s="374"/>
      <c r="F954" s="267"/>
      <c r="G954" s="267"/>
      <c r="I954" s="136"/>
      <c r="J954" s="136"/>
      <c r="K954" s="136"/>
      <c r="L954" s="136"/>
      <c r="M954" s="136"/>
      <c r="N954" s="136"/>
      <c r="O954" s="136"/>
      <c r="P954" s="136"/>
      <c r="Q954" s="136"/>
      <c r="R954" s="136"/>
    </row>
    <row r="955" spans="1:18" s="129" customFormat="1" ht="13.15">
      <c r="A955" s="162"/>
      <c r="B955" s="131"/>
      <c r="C955" s="136"/>
      <c r="D955" s="266"/>
      <c r="E955" s="192"/>
      <c r="F955" s="193"/>
      <c r="G955" s="193"/>
      <c r="I955" s="136"/>
      <c r="J955" s="136"/>
      <c r="K955" s="136"/>
      <c r="L955" s="136"/>
      <c r="M955" s="136"/>
      <c r="N955" s="136"/>
      <c r="O955" s="136"/>
      <c r="P955" s="136"/>
      <c r="Q955" s="136"/>
      <c r="R955" s="136"/>
    </row>
    <row r="956" spans="1:18" s="129" customFormat="1" ht="13.15">
      <c r="A956" s="162" t="s">
        <v>123</v>
      </c>
      <c r="B956" s="127"/>
      <c r="C956" s="911" t="s">
        <v>489</v>
      </c>
      <c r="D956" s="911"/>
      <c r="E956" s="911"/>
      <c r="F956" s="911"/>
      <c r="G956" s="911"/>
      <c r="I956" s="136"/>
      <c r="J956" s="136"/>
      <c r="K956" s="136"/>
      <c r="L956" s="136"/>
      <c r="M956" s="136"/>
      <c r="N956" s="136"/>
      <c r="O956" s="136"/>
      <c r="P956" s="136"/>
      <c r="Q956" s="136"/>
      <c r="R956" s="136"/>
    </row>
    <row r="957" spans="1:18" s="129" customFormat="1" ht="13.15">
      <c r="A957" s="126"/>
      <c r="B957" s="127"/>
      <c r="C957" s="163" t="s">
        <v>392</v>
      </c>
      <c r="D957" s="128"/>
      <c r="E957" s="192"/>
      <c r="F957" s="267"/>
      <c r="G957" s="267"/>
      <c r="I957" s="136"/>
      <c r="J957" s="136"/>
      <c r="K957" s="136"/>
      <c r="L957" s="136"/>
      <c r="M957" s="136"/>
      <c r="N957" s="136"/>
      <c r="O957" s="136"/>
      <c r="P957" s="136"/>
      <c r="Q957" s="136"/>
      <c r="R957" s="136"/>
    </row>
    <row r="958" spans="1:18" s="129" customFormat="1" ht="58.5" customHeight="1">
      <c r="A958" s="126"/>
      <c r="B958" s="127"/>
      <c r="C958" s="899" t="s">
        <v>910</v>
      </c>
      <c r="D958" s="899"/>
      <c r="E958" s="899"/>
      <c r="F958" s="899"/>
      <c r="G958" s="899"/>
      <c r="I958" s="136"/>
      <c r="J958" s="136"/>
      <c r="K958" s="136"/>
      <c r="L958" s="136"/>
      <c r="M958" s="136"/>
      <c r="N958" s="136"/>
      <c r="O958" s="136"/>
      <c r="P958" s="136"/>
      <c r="Q958" s="136"/>
      <c r="R958" s="136"/>
    </row>
    <row r="959" spans="1:18" s="129" customFormat="1" ht="18" customHeight="1">
      <c r="A959" s="126"/>
      <c r="B959" s="127"/>
      <c r="C959" s="899" t="s">
        <v>201</v>
      </c>
      <c r="D959" s="899"/>
      <c r="E959" s="899"/>
      <c r="F959" s="899"/>
      <c r="G959" s="899"/>
      <c r="I959" s="136"/>
      <c r="J959" s="136"/>
      <c r="K959" s="136"/>
      <c r="L959" s="136"/>
      <c r="M959" s="136"/>
      <c r="N959" s="136"/>
      <c r="O959" s="136"/>
      <c r="P959" s="136"/>
      <c r="Q959" s="136"/>
      <c r="R959" s="136"/>
    </row>
    <row r="960" spans="1:18" s="129" customFormat="1" ht="14.25" customHeight="1">
      <c r="A960" s="126"/>
      <c r="B960" s="127"/>
      <c r="C960" s="899" t="s">
        <v>909</v>
      </c>
      <c r="D960" s="899"/>
      <c r="E960" s="899"/>
      <c r="F960" s="899"/>
      <c r="G960" s="899"/>
      <c r="I960" s="136"/>
      <c r="J960" s="136"/>
      <c r="K960" s="136"/>
      <c r="L960" s="136"/>
      <c r="M960" s="136"/>
      <c r="N960" s="136"/>
      <c r="O960" s="136"/>
      <c r="P960" s="136"/>
      <c r="Q960" s="136"/>
      <c r="R960" s="136"/>
    </row>
    <row r="961" spans="1:18" s="129" customFormat="1" ht="12.75" customHeight="1">
      <c r="A961" s="126"/>
      <c r="B961" s="127"/>
      <c r="C961" s="915" t="s">
        <v>202</v>
      </c>
      <c r="D961" s="915"/>
      <c r="E961" s="915"/>
      <c r="F961" s="915"/>
      <c r="G961" s="915"/>
      <c r="I961" s="136"/>
      <c r="J961" s="136"/>
      <c r="K961" s="136"/>
      <c r="L961" s="136"/>
      <c r="M961" s="136"/>
      <c r="N961" s="136"/>
      <c r="O961" s="136"/>
      <c r="P961" s="136"/>
      <c r="Q961" s="136"/>
      <c r="R961" s="136"/>
    </row>
    <row r="962" spans="1:18" s="129" customFormat="1" ht="12.75" customHeight="1">
      <c r="A962" s="126"/>
      <c r="B962" s="127"/>
      <c r="C962" s="899" t="s">
        <v>490</v>
      </c>
      <c r="D962" s="899"/>
      <c r="E962" s="899"/>
      <c r="F962" s="899"/>
      <c r="G962" s="899"/>
      <c r="I962" s="136"/>
      <c r="J962" s="136"/>
      <c r="K962" s="136"/>
      <c r="L962" s="136"/>
      <c r="M962" s="136"/>
      <c r="N962" s="136"/>
      <c r="O962" s="136"/>
      <c r="P962" s="136"/>
      <c r="Q962" s="136"/>
      <c r="R962" s="136"/>
    </row>
    <row r="963" spans="1:18" s="129" customFormat="1" ht="25.5" customHeight="1">
      <c r="A963" s="126"/>
      <c r="B963" s="127"/>
      <c r="C963" s="899" t="s">
        <v>491</v>
      </c>
      <c r="D963" s="899"/>
      <c r="E963" s="899"/>
      <c r="F963" s="899"/>
      <c r="G963" s="899"/>
      <c r="I963" s="136"/>
      <c r="J963" s="136"/>
      <c r="K963" s="136"/>
      <c r="L963" s="136"/>
      <c r="M963" s="136"/>
      <c r="N963" s="136"/>
      <c r="O963" s="136"/>
      <c r="P963" s="136"/>
      <c r="Q963" s="136"/>
      <c r="R963" s="136"/>
    </row>
    <row r="964" spans="1:18" s="129" customFormat="1" ht="25.5" customHeight="1">
      <c r="A964" s="126"/>
      <c r="B964" s="127"/>
      <c r="C964" s="899" t="s">
        <v>492</v>
      </c>
      <c r="D964" s="899"/>
      <c r="E964" s="899"/>
      <c r="F964" s="899"/>
      <c r="G964" s="899"/>
      <c r="I964" s="136"/>
      <c r="J964" s="136"/>
      <c r="K964" s="136"/>
      <c r="L964" s="136"/>
      <c r="M964" s="136"/>
      <c r="N964" s="136"/>
      <c r="O964" s="136"/>
      <c r="P964" s="136"/>
      <c r="Q964" s="136"/>
      <c r="R964" s="136"/>
    </row>
    <row r="965" spans="1:18" s="129" customFormat="1" ht="25.5" customHeight="1">
      <c r="A965" s="126"/>
      <c r="B965" s="127"/>
      <c r="C965" s="899" t="s">
        <v>493</v>
      </c>
      <c r="D965" s="899"/>
      <c r="E965" s="899"/>
      <c r="F965" s="899"/>
      <c r="G965" s="899"/>
      <c r="I965" s="136"/>
      <c r="J965" s="136"/>
      <c r="K965" s="136"/>
      <c r="L965" s="136"/>
      <c r="M965" s="136"/>
      <c r="N965" s="136"/>
      <c r="O965" s="136"/>
      <c r="P965" s="136"/>
      <c r="Q965" s="136"/>
      <c r="R965" s="136"/>
    </row>
    <row r="966" spans="1:18" s="129" customFormat="1" ht="25.5" customHeight="1">
      <c r="A966" s="126"/>
      <c r="B966" s="127"/>
      <c r="C966" s="899" t="s">
        <v>494</v>
      </c>
      <c r="D966" s="899"/>
      <c r="E966" s="899"/>
      <c r="F966" s="899"/>
      <c r="G966" s="899"/>
      <c r="I966" s="136"/>
      <c r="J966" s="136"/>
      <c r="K966" s="136"/>
      <c r="L966" s="136"/>
      <c r="M966" s="136"/>
      <c r="N966" s="136"/>
      <c r="O966" s="136"/>
      <c r="P966" s="136"/>
      <c r="Q966" s="136"/>
      <c r="R966" s="136"/>
    </row>
    <row r="967" spans="1:18" s="129" customFormat="1" ht="25.5" customHeight="1">
      <c r="A967" s="126"/>
      <c r="B967" s="127"/>
      <c r="C967" s="899" t="s">
        <v>495</v>
      </c>
      <c r="D967" s="899"/>
      <c r="E967" s="899"/>
      <c r="F967" s="899"/>
      <c r="G967" s="899"/>
      <c r="I967" s="136"/>
      <c r="J967" s="136"/>
      <c r="K967" s="136"/>
      <c r="L967" s="136"/>
      <c r="M967" s="136"/>
      <c r="N967" s="136"/>
      <c r="O967" s="136"/>
      <c r="P967" s="136"/>
      <c r="Q967" s="136"/>
      <c r="R967" s="136"/>
    </row>
    <row r="968" spans="1:18" s="129" customFormat="1" ht="12" customHeight="1">
      <c r="A968" s="126"/>
      <c r="B968" s="127"/>
      <c r="C968" s="899"/>
      <c r="D968" s="899"/>
      <c r="E968" s="899"/>
      <c r="F968" s="899"/>
      <c r="G968" s="899"/>
      <c r="I968" s="136"/>
      <c r="J968" s="136"/>
      <c r="K968" s="136"/>
      <c r="L968" s="136"/>
      <c r="M968" s="136"/>
      <c r="N968" s="136"/>
      <c r="O968" s="136"/>
      <c r="P968" s="136"/>
      <c r="Q968" s="136"/>
      <c r="R968" s="136"/>
    </row>
    <row r="969" spans="1:18" s="129" customFormat="1" ht="15.75" customHeight="1">
      <c r="A969" s="126"/>
      <c r="B969" s="127"/>
      <c r="C969" s="899" t="s">
        <v>496</v>
      </c>
      <c r="D969" s="899"/>
      <c r="E969" s="899"/>
      <c r="F969" s="899"/>
      <c r="G969" s="899"/>
      <c r="I969" s="136"/>
      <c r="J969" s="136"/>
      <c r="K969" s="136"/>
      <c r="L969" s="136"/>
      <c r="M969" s="136"/>
      <c r="N969" s="136"/>
      <c r="O969" s="136"/>
      <c r="P969" s="136"/>
      <c r="Q969" s="136"/>
      <c r="R969" s="136"/>
    </row>
    <row r="970" spans="1:18" s="129" customFormat="1" ht="34.5" customHeight="1">
      <c r="A970" s="126"/>
      <c r="B970" s="127"/>
      <c r="C970" s="899" t="s">
        <v>497</v>
      </c>
      <c r="D970" s="899"/>
      <c r="E970" s="899"/>
      <c r="F970" s="899"/>
      <c r="G970" s="899"/>
      <c r="I970" s="136"/>
      <c r="J970" s="136"/>
      <c r="K970" s="136"/>
      <c r="L970" s="136"/>
      <c r="M970" s="136"/>
      <c r="N970" s="136"/>
      <c r="O970" s="136"/>
      <c r="P970" s="136"/>
      <c r="Q970" s="136"/>
      <c r="R970" s="136"/>
    </row>
    <row r="971" spans="1:18" s="129" customFormat="1" ht="33" customHeight="1">
      <c r="A971" s="126"/>
      <c r="B971" s="127"/>
      <c r="C971" s="899" t="s">
        <v>498</v>
      </c>
      <c r="D971" s="899"/>
      <c r="E971" s="899"/>
      <c r="F971" s="899"/>
      <c r="G971" s="899"/>
      <c r="I971" s="136"/>
      <c r="J971" s="136"/>
      <c r="K971" s="136"/>
      <c r="L971" s="136"/>
      <c r="M971" s="136"/>
      <c r="N971" s="136"/>
      <c r="O971" s="136"/>
      <c r="P971" s="136"/>
      <c r="Q971" s="136"/>
      <c r="R971" s="136"/>
    </row>
    <row r="972" spans="1:18" s="129" customFormat="1" ht="30.75" customHeight="1">
      <c r="A972" s="126"/>
      <c r="B972" s="127"/>
      <c r="C972" s="899" t="s">
        <v>499</v>
      </c>
      <c r="D972" s="899"/>
      <c r="E972" s="899"/>
      <c r="F972" s="899"/>
      <c r="G972" s="899"/>
      <c r="I972" s="136"/>
      <c r="J972" s="136"/>
      <c r="K972" s="136"/>
      <c r="L972" s="136"/>
      <c r="M972" s="136"/>
      <c r="N972" s="136"/>
      <c r="O972" s="136"/>
      <c r="P972" s="136"/>
      <c r="Q972" s="136"/>
      <c r="R972" s="136"/>
    </row>
    <row r="973" spans="1:18" s="129" customFormat="1" ht="24.75" customHeight="1">
      <c r="A973" s="126"/>
      <c r="B973" s="127"/>
      <c r="C973" s="899" t="s">
        <v>500</v>
      </c>
      <c r="D973" s="899"/>
      <c r="E973" s="899"/>
      <c r="F973" s="899"/>
      <c r="G973" s="899"/>
      <c r="I973" s="136"/>
      <c r="J973" s="136"/>
      <c r="K973" s="136"/>
      <c r="L973" s="136"/>
      <c r="M973" s="136"/>
      <c r="N973" s="136"/>
      <c r="O973" s="136"/>
      <c r="P973" s="136"/>
      <c r="Q973" s="136"/>
      <c r="R973" s="136"/>
    </row>
    <row r="974" spans="1:18" s="129" customFormat="1" ht="26.25" customHeight="1">
      <c r="A974" s="126"/>
      <c r="B974" s="127"/>
      <c r="C974" s="899" t="s">
        <v>501</v>
      </c>
      <c r="D974" s="899"/>
      <c r="E974" s="899"/>
      <c r="F974" s="899"/>
      <c r="G974" s="899"/>
      <c r="I974" s="136"/>
      <c r="J974" s="136"/>
      <c r="K974" s="136"/>
      <c r="L974" s="136"/>
      <c r="M974" s="136"/>
      <c r="N974" s="136"/>
      <c r="O974" s="136"/>
      <c r="P974" s="136"/>
      <c r="Q974" s="136"/>
      <c r="R974" s="136"/>
    </row>
    <row r="975" spans="1:18" s="129" customFormat="1" ht="24.75" customHeight="1">
      <c r="A975" s="126"/>
      <c r="B975" s="127"/>
      <c r="C975" s="899" t="s">
        <v>502</v>
      </c>
      <c r="D975" s="899"/>
      <c r="E975" s="899"/>
      <c r="F975" s="899"/>
      <c r="G975" s="899"/>
      <c r="I975" s="136"/>
      <c r="J975" s="136"/>
      <c r="K975" s="136"/>
      <c r="L975" s="136"/>
      <c r="M975" s="136"/>
      <c r="N975" s="136"/>
      <c r="O975" s="136"/>
      <c r="P975" s="136"/>
      <c r="Q975" s="136"/>
      <c r="R975" s="136"/>
    </row>
    <row r="976" spans="1:18" s="129" customFormat="1" ht="29.25" customHeight="1">
      <c r="A976" s="126"/>
      <c r="B976" s="127"/>
      <c r="C976" s="899" t="s">
        <v>503</v>
      </c>
      <c r="D976" s="899"/>
      <c r="E976" s="899"/>
      <c r="F976" s="899"/>
      <c r="G976" s="899"/>
      <c r="I976" s="136"/>
      <c r="J976" s="136"/>
      <c r="K976" s="136"/>
      <c r="L976" s="136"/>
      <c r="M976" s="136"/>
      <c r="N976" s="136"/>
      <c r="O976" s="136"/>
      <c r="P976" s="136"/>
      <c r="Q976" s="136"/>
      <c r="R976" s="136"/>
    </row>
    <row r="977" spans="1:18" s="129" customFormat="1" ht="12.75" customHeight="1">
      <c r="A977" s="126"/>
      <c r="B977" s="127"/>
      <c r="C977" s="899" t="s">
        <v>504</v>
      </c>
      <c r="D977" s="899"/>
      <c r="E977" s="899"/>
      <c r="F977" s="899"/>
      <c r="G977" s="899"/>
      <c r="I977" s="136"/>
      <c r="J977" s="136"/>
      <c r="K977" s="136"/>
      <c r="L977" s="136"/>
      <c r="M977" s="136"/>
      <c r="N977" s="136"/>
      <c r="O977" s="136"/>
      <c r="P977" s="136"/>
      <c r="Q977" s="136"/>
      <c r="R977" s="136"/>
    </row>
    <row r="978" spans="1:18" s="129" customFormat="1" ht="10.5" customHeight="1">
      <c r="A978" s="126"/>
      <c r="B978" s="127"/>
      <c r="C978" s="899"/>
      <c r="D978" s="899"/>
      <c r="E978" s="899"/>
      <c r="F978" s="899"/>
      <c r="G978" s="899"/>
      <c r="I978" s="136"/>
      <c r="J978" s="136"/>
      <c r="K978" s="136"/>
      <c r="L978" s="136"/>
      <c r="M978" s="136"/>
      <c r="N978" s="136"/>
      <c r="O978" s="136"/>
      <c r="P978" s="136"/>
      <c r="Q978" s="136"/>
      <c r="R978" s="136"/>
    </row>
    <row r="979" spans="1:18" s="129" customFormat="1" ht="15" customHeight="1">
      <c r="A979" s="126"/>
      <c r="B979" s="127"/>
      <c r="C979" s="899" t="s">
        <v>505</v>
      </c>
      <c r="D979" s="899"/>
      <c r="E979" s="899"/>
      <c r="F979" s="899"/>
      <c r="G979" s="899"/>
      <c r="I979" s="136"/>
      <c r="J979" s="136"/>
      <c r="K979" s="136"/>
      <c r="L979" s="136"/>
      <c r="M979" s="136"/>
      <c r="N979" s="136"/>
      <c r="O979" s="136"/>
      <c r="P979" s="136"/>
      <c r="Q979" s="136"/>
      <c r="R979" s="136"/>
    </row>
    <row r="980" spans="1:18" s="129" customFormat="1" ht="24.75" customHeight="1">
      <c r="A980" s="126"/>
      <c r="B980" s="127"/>
      <c r="C980" s="899" t="s">
        <v>506</v>
      </c>
      <c r="D980" s="899"/>
      <c r="E980" s="899"/>
      <c r="F980" s="899"/>
      <c r="G980" s="899"/>
      <c r="I980" s="136"/>
      <c r="J980" s="136"/>
      <c r="K980" s="136"/>
      <c r="L980" s="136"/>
      <c r="M980" s="136"/>
      <c r="N980" s="136"/>
      <c r="O980" s="136"/>
      <c r="P980" s="136"/>
      <c r="Q980" s="136"/>
      <c r="R980" s="136"/>
    </row>
    <row r="981" spans="1:18" s="129" customFormat="1" ht="25.5" customHeight="1">
      <c r="A981" s="126"/>
      <c r="B981" s="127"/>
      <c r="C981" s="899" t="s">
        <v>507</v>
      </c>
      <c r="D981" s="899"/>
      <c r="E981" s="899"/>
      <c r="F981" s="899"/>
      <c r="G981" s="899"/>
      <c r="I981" s="136"/>
      <c r="J981" s="136"/>
      <c r="K981" s="136"/>
      <c r="L981" s="136"/>
      <c r="M981" s="136"/>
      <c r="N981" s="136"/>
      <c r="O981" s="136"/>
      <c r="P981" s="136"/>
      <c r="Q981" s="136"/>
      <c r="R981" s="136"/>
    </row>
    <row r="982" spans="1:18" s="129" customFormat="1" ht="27.75" customHeight="1">
      <c r="A982" s="126"/>
      <c r="B982" s="127"/>
      <c r="C982" s="899" t="s">
        <v>508</v>
      </c>
      <c r="D982" s="899"/>
      <c r="E982" s="899"/>
      <c r="F982" s="899"/>
      <c r="G982" s="899"/>
      <c r="I982" s="136"/>
      <c r="J982" s="136"/>
      <c r="K982" s="136"/>
      <c r="L982" s="136"/>
      <c r="M982" s="136"/>
      <c r="N982" s="136"/>
      <c r="O982" s="136"/>
      <c r="P982" s="136"/>
      <c r="Q982" s="136"/>
      <c r="R982" s="136"/>
    </row>
    <row r="983" spans="1:18" s="129" customFormat="1" ht="12.75" customHeight="1">
      <c r="A983" s="126"/>
      <c r="B983" s="127"/>
      <c r="C983" s="899"/>
      <c r="D983" s="899"/>
      <c r="E983" s="899"/>
      <c r="F983" s="899"/>
      <c r="G983" s="899"/>
      <c r="I983" s="136"/>
      <c r="J983" s="136"/>
      <c r="K983" s="136"/>
      <c r="L983" s="136"/>
      <c r="M983" s="136"/>
      <c r="N983" s="136"/>
      <c r="O983" s="136"/>
      <c r="P983" s="136"/>
      <c r="Q983" s="136"/>
      <c r="R983" s="136"/>
    </row>
    <row r="984" spans="1:18" s="129" customFormat="1">
      <c r="A984" s="126"/>
      <c r="B984" s="127"/>
      <c r="C984" s="899" t="s">
        <v>509</v>
      </c>
      <c r="D984" s="899"/>
      <c r="E984" s="899"/>
      <c r="F984" s="899"/>
      <c r="G984" s="899"/>
      <c r="I984" s="136"/>
      <c r="J984" s="136"/>
      <c r="K984" s="136"/>
      <c r="L984" s="136"/>
      <c r="M984" s="136"/>
      <c r="N984" s="136"/>
      <c r="O984" s="136"/>
      <c r="P984" s="136"/>
      <c r="Q984" s="136"/>
      <c r="R984" s="136"/>
    </row>
    <row r="985" spans="1:18" s="129" customFormat="1" ht="30" customHeight="1">
      <c r="A985" s="126"/>
      <c r="B985" s="127"/>
      <c r="C985" s="899" t="s">
        <v>510</v>
      </c>
      <c r="D985" s="899"/>
      <c r="E985" s="899"/>
      <c r="F985" s="899"/>
      <c r="G985" s="899"/>
      <c r="I985" s="136"/>
      <c r="J985" s="136"/>
      <c r="K985" s="136"/>
      <c r="L985" s="136"/>
      <c r="M985" s="136"/>
      <c r="N985" s="136"/>
      <c r="O985" s="136"/>
      <c r="P985" s="136"/>
      <c r="Q985" s="136"/>
      <c r="R985" s="136"/>
    </row>
    <row r="986" spans="1:18" s="129" customFormat="1" ht="24.75" customHeight="1">
      <c r="A986" s="126"/>
      <c r="B986" s="127"/>
      <c r="C986" s="899" t="s">
        <v>511</v>
      </c>
      <c r="D986" s="899"/>
      <c r="E986" s="899"/>
      <c r="F986" s="899"/>
      <c r="G986" s="899"/>
      <c r="I986" s="136"/>
      <c r="J986" s="136"/>
      <c r="K986" s="136"/>
      <c r="L986" s="136"/>
      <c r="M986" s="136"/>
      <c r="N986" s="136"/>
      <c r="O986" s="136"/>
      <c r="P986" s="136"/>
      <c r="Q986" s="136"/>
      <c r="R986" s="136"/>
    </row>
    <row r="987" spans="1:18" s="129" customFormat="1" ht="32.25" customHeight="1">
      <c r="A987" s="126"/>
      <c r="B987" s="127"/>
      <c r="C987" s="899" t="s">
        <v>512</v>
      </c>
      <c r="D987" s="899"/>
      <c r="E987" s="899"/>
      <c r="F987" s="899"/>
      <c r="G987" s="899"/>
      <c r="I987" s="136"/>
      <c r="J987" s="136"/>
      <c r="K987" s="136"/>
      <c r="L987" s="136"/>
      <c r="M987" s="136"/>
      <c r="N987" s="136"/>
      <c r="O987" s="136"/>
      <c r="P987" s="136"/>
      <c r="Q987" s="136"/>
      <c r="R987" s="136"/>
    </row>
    <row r="988" spans="1:18" s="129" customFormat="1" ht="26.25" customHeight="1">
      <c r="A988" s="126"/>
      <c r="B988" s="127"/>
      <c r="C988" s="899" t="s">
        <v>513</v>
      </c>
      <c r="D988" s="899"/>
      <c r="E988" s="899"/>
      <c r="F988" s="899"/>
      <c r="G988" s="899"/>
      <c r="I988" s="136"/>
      <c r="J988" s="136"/>
      <c r="K988" s="136"/>
      <c r="L988" s="136"/>
      <c r="M988" s="136"/>
      <c r="N988" s="136"/>
      <c r="O988" s="136"/>
      <c r="P988" s="136"/>
      <c r="Q988" s="136"/>
      <c r="R988" s="136"/>
    </row>
    <row r="989" spans="1:18" s="129" customFormat="1" ht="31.5" customHeight="1">
      <c r="A989" s="126"/>
      <c r="B989" s="127"/>
      <c r="C989" s="899" t="s">
        <v>514</v>
      </c>
      <c r="D989" s="899"/>
      <c r="E989" s="899"/>
      <c r="F989" s="899"/>
      <c r="G989" s="899"/>
      <c r="I989" s="136"/>
      <c r="J989" s="136"/>
      <c r="K989" s="136"/>
      <c r="L989" s="136"/>
      <c r="M989" s="136"/>
      <c r="N989" s="136"/>
      <c r="O989" s="136"/>
      <c r="P989" s="136"/>
      <c r="Q989" s="136"/>
      <c r="R989" s="136"/>
    </row>
    <row r="990" spans="1:18" s="129" customFormat="1" ht="30" customHeight="1">
      <c r="A990" s="126"/>
      <c r="B990" s="127"/>
      <c r="C990" s="899" t="s">
        <v>515</v>
      </c>
      <c r="D990" s="899"/>
      <c r="E990" s="899"/>
      <c r="F990" s="899"/>
      <c r="G990" s="899"/>
      <c r="I990" s="136"/>
      <c r="J990" s="136"/>
      <c r="K990" s="136"/>
      <c r="L990" s="136"/>
      <c r="M990" s="136"/>
      <c r="N990" s="136"/>
      <c r="O990" s="136"/>
      <c r="P990" s="136"/>
      <c r="Q990" s="136"/>
      <c r="R990" s="136"/>
    </row>
    <row r="991" spans="1:18" s="129" customFormat="1" ht="11.25" customHeight="1">
      <c r="A991" s="126"/>
      <c r="B991" s="127"/>
      <c r="C991" s="899"/>
      <c r="D991" s="899"/>
      <c r="E991" s="899"/>
      <c r="F991" s="899"/>
      <c r="G991" s="899"/>
      <c r="I991" s="136"/>
      <c r="J991" s="136"/>
      <c r="K991" s="136"/>
      <c r="L991" s="136"/>
      <c r="M991" s="136"/>
      <c r="N991" s="136"/>
      <c r="O991" s="136"/>
      <c r="P991" s="136"/>
      <c r="Q991" s="136"/>
      <c r="R991" s="136"/>
    </row>
    <row r="992" spans="1:18" s="129" customFormat="1">
      <c r="A992" s="126"/>
      <c r="B992" s="127"/>
      <c r="C992" s="899" t="s">
        <v>516</v>
      </c>
      <c r="D992" s="899"/>
      <c r="E992" s="899"/>
      <c r="F992" s="899"/>
      <c r="G992" s="899"/>
      <c r="I992" s="136"/>
      <c r="J992" s="136"/>
      <c r="K992" s="136"/>
      <c r="L992" s="136"/>
      <c r="M992" s="136"/>
      <c r="N992" s="136"/>
      <c r="O992" s="136"/>
      <c r="P992" s="136"/>
      <c r="Q992" s="136"/>
      <c r="R992" s="136"/>
    </row>
    <row r="993" spans="1:18" s="129" customFormat="1" ht="35.25" customHeight="1">
      <c r="A993" s="126"/>
      <c r="B993" s="127"/>
      <c r="C993" s="899" t="s">
        <v>517</v>
      </c>
      <c r="D993" s="899"/>
      <c r="E993" s="899"/>
      <c r="F993" s="899"/>
      <c r="G993" s="899"/>
      <c r="I993" s="136"/>
      <c r="J993" s="136"/>
      <c r="K993" s="136"/>
      <c r="L993" s="136"/>
      <c r="M993" s="136"/>
      <c r="N993" s="136"/>
      <c r="O993" s="136"/>
      <c r="P993" s="136"/>
      <c r="Q993" s="136"/>
      <c r="R993" s="136"/>
    </row>
    <row r="994" spans="1:18" s="129" customFormat="1" ht="27" customHeight="1">
      <c r="A994" s="126"/>
      <c r="B994" s="127"/>
      <c r="C994" s="899" t="s">
        <v>518</v>
      </c>
      <c r="D994" s="899"/>
      <c r="E994" s="899"/>
      <c r="F994" s="899"/>
      <c r="G994" s="899"/>
      <c r="I994" s="136"/>
      <c r="J994" s="136"/>
      <c r="K994" s="136"/>
      <c r="L994" s="136"/>
      <c r="M994" s="136"/>
      <c r="N994" s="136"/>
      <c r="O994" s="136"/>
      <c r="P994" s="136"/>
      <c r="Q994" s="136"/>
      <c r="R994" s="136"/>
    </row>
    <row r="995" spans="1:18" s="129" customFormat="1" ht="25.5" customHeight="1">
      <c r="A995" s="126"/>
      <c r="B995" s="127"/>
      <c r="C995" s="899" t="s">
        <v>519</v>
      </c>
      <c r="D995" s="899"/>
      <c r="E995" s="899"/>
      <c r="F995" s="899"/>
      <c r="G995" s="899"/>
      <c r="I995" s="136"/>
      <c r="J995" s="136"/>
      <c r="K995" s="136"/>
      <c r="L995" s="136"/>
      <c r="M995" s="136"/>
      <c r="N995" s="136"/>
      <c r="O995" s="136"/>
      <c r="P995" s="136"/>
      <c r="Q995" s="136"/>
      <c r="R995" s="136"/>
    </row>
    <row r="996" spans="1:18" s="129" customFormat="1">
      <c r="A996" s="126"/>
      <c r="B996" s="127"/>
      <c r="C996" s="899"/>
      <c r="D996" s="899"/>
      <c r="E996" s="899"/>
      <c r="F996" s="899"/>
      <c r="G996" s="899"/>
      <c r="I996" s="136"/>
      <c r="J996" s="136"/>
      <c r="K996" s="136"/>
      <c r="L996" s="136"/>
      <c r="M996" s="136"/>
      <c r="N996" s="136"/>
      <c r="O996" s="136"/>
      <c r="P996" s="136"/>
      <c r="Q996" s="136"/>
      <c r="R996" s="136"/>
    </row>
    <row r="997" spans="1:18" s="129" customFormat="1">
      <c r="A997" s="126"/>
      <c r="B997" s="127"/>
      <c r="C997" s="899" t="s">
        <v>520</v>
      </c>
      <c r="D997" s="899"/>
      <c r="E997" s="899"/>
      <c r="F997" s="899"/>
      <c r="G997" s="899"/>
      <c r="I997" s="136"/>
      <c r="J997" s="136"/>
      <c r="K997" s="136"/>
      <c r="L997" s="136"/>
      <c r="M997" s="136"/>
      <c r="N997" s="136"/>
      <c r="O997" s="136"/>
      <c r="P997" s="136"/>
      <c r="Q997" s="136"/>
      <c r="R997" s="136"/>
    </row>
    <row r="998" spans="1:18" s="129" customFormat="1" ht="24.75" customHeight="1">
      <c r="A998" s="126"/>
      <c r="B998" s="127"/>
      <c r="C998" s="899" t="s">
        <v>521</v>
      </c>
      <c r="D998" s="899"/>
      <c r="E998" s="899"/>
      <c r="F998" s="899"/>
      <c r="G998" s="899"/>
      <c r="I998" s="136"/>
      <c r="J998" s="136"/>
      <c r="K998" s="136"/>
      <c r="L998" s="136"/>
      <c r="M998" s="136"/>
      <c r="N998" s="136"/>
      <c r="O998" s="136"/>
      <c r="P998" s="136"/>
      <c r="Q998" s="136"/>
      <c r="R998" s="136"/>
    </row>
    <row r="999" spans="1:18" s="129" customFormat="1">
      <c r="A999" s="126"/>
      <c r="B999" s="127"/>
      <c r="C999" s="899" t="s">
        <v>522</v>
      </c>
      <c r="D999" s="899"/>
      <c r="E999" s="899"/>
      <c r="F999" s="899"/>
      <c r="G999" s="899"/>
      <c r="I999" s="136"/>
      <c r="J999" s="136"/>
      <c r="K999" s="136"/>
      <c r="L999" s="136"/>
      <c r="M999" s="136"/>
      <c r="N999" s="136"/>
      <c r="O999" s="136"/>
      <c r="P999" s="136"/>
      <c r="Q999" s="136"/>
      <c r="R999" s="136"/>
    </row>
    <row r="1000" spans="1:18" s="129" customFormat="1" ht="15.75" customHeight="1">
      <c r="A1000" s="126"/>
      <c r="B1000" s="127"/>
      <c r="C1000" s="899" t="s">
        <v>523</v>
      </c>
      <c r="D1000" s="899"/>
      <c r="E1000" s="899"/>
      <c r="F1000" s="899"/>
      <c r="G1000" s="899"/>
      <c r="I1000" s="136"/>
      <c r="J1000" s="136"/>
      <c r="K1000" s="136"/>
      <c r="L1000" s="136"/>
      <c r="M1000" s="136"/>
      <c r="N1000" s="136"/>
      <c r="O1000" s="136"/>
      <c r="P1000" s="136"/>
      <c r="Q1000" s="136"/>
      <c r="R1000" s="136"/>
    </row>
    <row r="1001" spans="1:18" s="129" customFormat="1" ht="29.25" customHeight="1">
      <c r="A1001" s="126"/>
      <c r="B1001" s="127"/>
      <c r="C1001" s="899" t="s">
        <v>524</v>
      </c>
      <c r="D1001" s="899"/>
      <c r="E1001" s="899"/>
      <c r="F1001" s="899"/>
      <c r="G1001" s="899"/>
      <c r="I1001" s="136"/>
      <c r="J1001" s="136"/>
      <c r="K1001" s="136"/>
      <c r="L1001" s="136"/>
      <c r="M1001" s="136"/>
      <c r="N1001" s="136"/>
      <c r="O1001" s="136"/>
      <c r="P1001" s="136"/>
      <c r="Q1001" s="136"/>
      <c r="R1001" s="136"/>
    </row>
    <row r="1002" spans="1:18" s="129" customFormat="1" ht="32.25" customHeight="1">
      <c r="A1002" s="126"/>
      <c r="B1002" s="127"/>
      <c r="C1002" s="899" t="s">
        <v>525</v>
      </c>
      <c r="D1002" s="899"/>
      <c r="E1002" s="899"/>
      <c r="F1002" s="899"/>
      <c r="G1002" s="899"/>
      <c r="I1002" s="136"/>
      <c r="J1002" s="136"/>
      <c r="K1002" s="136"/>
      <c r="L1002" s="136"/>
      <c r="M1002" s="136"/>
      <c r="N1002" s="136"/>
      <c r="O1002" s="136"/>
      <c r="P1002" s="136"/>
      <c r="Q1002" s="136"/>
      <c r="R1002" s="136"/>
    </row>
    <row r="1003" spans="1:18" s="129" customFormat="1" ht="30" customHeight="1">
      <c r="A1003" s="126"/>
      <c r="B1003" s="127"/>
      <c r="C1003" s="899" t="s">
        <v>526</v>
      </c>
      <c r="D1003" s="899"/>
      <c r="E1003" s="899"/>
      <c r="F1003" s="899"/>
      <c r="G1003" s="899"/>
      <c r="I1003" s="136"/>
      <c r="J1003" s="136"/>
      <c r="K1003" s="136"/>
      <c r="L1003" s="136"/>
      <c r="M1003" s="136"/>
      <c r="N1003" s="136"/>
      <c r="O1003" s="136"/>
      <c r="P1003" s="136"/>
      <c r="Q1003" s="136"/>
      <c r="R1003" s="136"/>
    </row>
    <row r="1004" spans="1:18" s="129" customFormat="1" ht="35.25" customHeight="1">
      <c r="A1004" s="126"/>
      <c r="B1004" s="127"/>
      <c r="C1004" s="899" t="s">
        <v>527</v>
      </c>
      <c r="D1004" s="899"/>
      <c r="E1004" s="899"/>
      <c r="F1004" s="899"/>
      <c r="G1004" s="899"/>
      <c r="I1004" s="130"/>
      <c r="J1004" s="130"/>
      <c r="K1004" s="130"/>
      <c r="L1004" s="130"/>
      <c r="M1004" s="130"/>
      <c r="N1004" s="130"/>
      <c r="O1004" s="130"/>
      <c r="P1004" s="130"/>
    </row>
    <row r="1005" spans="1:18" s="129" customFormat="1">
      <c r="A1005" s="126"/>
      <c r="B1005" s="127"/>
      <c r="C1005" s="899" t="s">
        <v>528</v>
      </c>
      <c r="D1005" s="899"/>
      <c r="E1005" s="899"/>
      <c r="F1005" s="899"/>
      <c r="G1005" s="899"/>
      <c r="I1005" s="130"/>
      <c r="J1005" s="130"/>
      <c r="K1005" s="130"/>
      <c r="L1005" s="126"/>
      <c r="M1005" s="126"/>
    </row>
    <row r="1006" spans="1:18" s="129" customFormat="1">
      <c r="A1006" s="126"/>
      <c r="B1006" s="127"/>
      <c r="C1006" s="899" t="s">
        <v>812</v>
      </c>
      <c r="D1006" s="899"/>
      <c r="E1006" s="899"/>
      <c r="F1006" s="899"/>
      <c r="G1006" s="899"/>
      <c r="I1006" s="130"/>
      <c r="J1006" s="130"/>
      <c r="K1006" s="130"/>
      <c r="L1006" s="126"/>
      <c r="M1006" s="126"/>
    </row>
    <row r="1007" spans="1:18" s="129" customFormat="1">
      <c r="A1007" s="126"/>
      <c r="B1007" s="127"/>
      <c r="C1007" s="899" t="s">
        <v>529</v>
      </c>
      <c r="D1007" s="899"/>
      <c r="E1007" s="899"/>
      <c r="F1007" s="899"/>
      <c r="G1007" s="899"/>
      <c r="I1007" s="130"/>
      <c r="J1007" s="130"/>
      <c r="K1007" s="130"/>
      <c r="L1007" s="130"/>
      <c r="M1007" s="130"/>
      <c r="N1007" s="130"/>
      <c r="O1007" s="130"/>
      <c r="P1007" s="130"/>
    </row>
    <row r="1008" spans="1:18" s="129" customFormat="1">
      <c r="A1008" s="126"/>
      <c r="B1008" s="127"/>
      <c r="C1008" s="899" t="s">
        <v>530</v>
      </c>
      <c r="D1008" s="899"/>
      <c r="E1008" s="899"/>
      <c r="F1008" s="899"/>
      <c r="G1008" s="899"/>
      <c r="I1008" s="136"/>
      <c r="J1008" s="136"/>
      <c r="K1008" s="136"/>
      <c r="L1008" s="136"/>
      <c r="M1008" s="136"/>
      <c r="N1008" s="136"/>
      <c r="O1008" s="136"/>
      <c r="P1008" s="136"/>
      <c r="Q1008" s="136"/>
    </row>
    <row r="1009" spans="1:17" s="129" customFormat="1">
      <c r="A1009" s="126"/>
      <c r="B1009" s="127"/>
      <c r="C1009" s="899" t="s">
        <v>531</v>
      </c>
      <c r="D1009" s="899"/>
      <c r="E1009" s="899"/>
      <c r="F1009" s="899"/>
      <c r="G1009" s="899"/>
      <c r="I1009" s="136"/>
      <c r="J1009" s="136"/>
      <c r="K1009" s="136"/>
      <c r="L1009" s="136"/>
      <c r="M1009" s="136"/>
      <c r="N1009" s="136"/>
      <c r="O1009" s="136"/>
      <c r="P1009" s="136"/>
      <c r="Q1009" s="136"/>
    </row>
    <row r="1010" spans="1:17" s="129" customFormat="1">
      <c r="A1010" s="126"/>
      <c r="B1010" s="127"/>
      <c r="C1010" s="899"/>
      <c r="D1010" s="899"/>
      <c r="E1010" s="899"/>
      <c r="F1010" s="899"/>
      <c r="G1010" s="899"/>
      <c r="I1010" s="136"/>
      <c r="J1010" s="136"/>
      <c r="K1010" s="136"/>
      <c r="L1010" s="136"/>
      <c r="M1010" s="136"/>
      <c r="N1010" s="136"/>
      <c r="O1010" s="136"/>
      <c r="P1010" s="136"/>
      <c r="Q1010" s="136"/>
    </row>
    <row r="1011" spans="1:17" s="129" customFormat="1" ht="43.5" customHeight="1">
      <c r="A1011" s="126"/>
      <c r="B1011" s="127"/>
      <c r="C1011" s="899" t="s">
        <v>532</v>
      </c>
      <c r="D1011" s="899"/>
      <c r="E1011" s="899"/>
      <c r="F1011" s="899"/>
      <c r="G1011" s="899"/>
      <c r="I1011" s="136"/>
      <c r="J1011" s="136"/>
      <c r="K1011" s="136"/>
      <c r="L1011" s="136"/>
      <c r="M1011" s="136"/>
      <c r="N1011" s="136"/>
      <c r="O1011" s="136"/>
      <c r="P1011" s="136"/>
      <c r="Q1011" s="136"/>
    </row>
    <row r="1012" spans="1:17" s="129" customFormat="1" ht="37.5" customHeight="1">
      <c r="A1012" s="126"/>
      <c r="B1012" s="127" t="s">
        <v>140</v>
      </c>
      <c r="C1012" s="899" t="s">
        <v>533</v>
      </c>
      <c r="D1012" s="899"/>
      <c r="E1012" s="899"/>
      <c r="F1012" s="899"/>
      <c r="G1012" s="899"/>
      <c r="I1012" s="136"/>
      <c r="J1012" s="136"/>
      <c r="K1012" s="136"/>
      <c r="L1012" s="136"/>
      <c r="M1012" s="136"/>
      <c r="N1012" s="136"/>
      <c r="O1012" s="136"/>
      <c r="P1012" s="136"/>
      <c r="Q1012" s="136"/>
    </row>
    <row r="1013" spans="1:17" s="129" customFormat="1" ht="22.5" customHeight="1">
      <c r="A1013" s="126"/>
      <c r="B1013" s="127" t="s">
        <v>140</v>
      </c>
      <c r="C1013" s="899" t="s">
        <v>534</v>
      </c>
      <c r="D1013" s="899"/>
      <c r="E1013" s="899"/>
      <c r="F1013" s="899"/>
      <c r="G1013" s="899"/>
      <c r="I1013" s="136"/>
      <c r="J1013" s="136"/>
      <c r="K1013" s="136"/>
      <c r="L1013" s="136"/>
      <c r="M1013" s="136"/>
      <c r="N1013" s="136"/>
      <c r="O1013" s="136"/>
      <c r="P1013" s="136"/>
      <c r="Q1013" s="136"/>
    </row>
    <row r="1014" spans="1:17" s="129" customFormat="1" ht="39" customHeight="1">
      <c r="A1014" s="126"/>
      <c r="B1014" s="127" t="s">
        <v>140</v>
      </c>
      <c r="C1014" s="899" t="s">
        <v>535</v>
      </c>
      <c r="D1014" s="899"/>
      <c r="E1014" s="899"/>
      <c r="F1014" s="899"/>
      <c r="G1014" s="899"/>
    </row>
    <row r="1015" spans="1:17" s="129" customFormat="1" ht="37.5" customHeight="1">
      <c r="A1015" s="126"/>
      <c r="B1015" s="127"/>
      <c r="C1015" s="899" t="s">
        <v>536</v>
      </c>
      <c r="D1015" s="899"/>
      <c r="E1015" s="899"/>
      <c r="F1015" s="899"/>
      <c r="G1015" s="899"/>
    </row>
    <row r="1016" spans="1:17" s="129" customFormat="1" ht="19.5" customHeight="1">
      <c r="A1016" s="126"/>
      <c r="B1016" s="127"/>
      <c r="C1016" s="899" t="s">
        <v>537</v>
      </c>
      <c r="D1016" s="899"/>
      <c r="E1016" s="899"/>
      <c r="F1016" s="899"/>
      <c r="G1016" s="899"/>
    </row>
    <row r="1017" spans="1:17" s="129" customFormat="1" ht="38.25" customHeight="1">
      <c r="A1017" s="126"/>
      <c r="B1017" s="127"/>
      <c r="C1017" s="899" t="s">
        <v>538</v>
      </c>
      <c r="D1017" s="899"/>
      <c r="E1017" s="899"/>
      <c r="F1017" s="899"/>
      <c r="G1017" s="899"/>
    </row>
    <row r="1018" spans="1:17" s="129" customFormat="1" ht="51.75" customHeight="1">
      <c r="A1018" s="126"/>
      <c r="B1018" s="127"/>
      <c r="C1018" s="899" t="s">
        <v>539</v>
      </c>
      <c r="D1018" s="899"/>
      <c r="E1018" s="899"/>
      <c r="F1018" s="899"/>
      <c r="G1018" s="899"/>
    </row>
    <row r="1019" spans="1:17" s="129" customFormat="1">
      <c r="A1019" s="126"/>
      <c r="B1019" s="127"/>
      <c r="C1019" s="163"/>
      <c r="D1019" s="163"/>
      <c r="E1019" s="198"/>
      <c r="F1019" s="125"/>
      <c r="G1019" s="125"/>
    </row>
    <row r="1020" spans="1:17" s="129" customFormat="1" ht="46.5" customHeight="1">
      <c r="A1020" s="126"/>
      <c r="B1020" s="127"/>
      <c r="C1020" s="899" t="s">
        <v>540</v>
      </c>
      <c r="D1020" s="899"/>
      <c r="E1020" s="899"/>
      <c r="F1020" s="899"/>
      <c r="G1020" s="899"/>
    </row>
    <row r="1021" spans="1:17" s="129" customFormat="1" ht="44.25" customHeight="1">
      <c r="A1021" s="126"/>
      <c r="B1021" s="127"/>
      <c r="C1021" s="899" t="s">
        <v>541</v>
      </c>
      <c r="D1021" s="899"/>
      <c r="E1021" s="899"/>
      <c r="F1021" s="899"/>
      <c r="G1021" s="899"/>
    </row>
    <row r="1022" spans="1:17" s="129" customFormat="1" ht="42" customHeight="1">
      <c r="A1022" s="126"/>
      <c r="B1022" s="127"/>
      <c r="C1022" s="899" t="s">
        <v>542</v>
      </c>
      <c r="D1022" s="899"/>
      <c r="E1022" s="899"/>
      <c r="F1022" s="899"/>
      <c r="G1022" s="899"/>
    </row>
    <row r="1023" spans="1:17" s="129" customFormat="1" ht="27" customHeight="1">
      <c r="A1023" s="126"/>
      <c r="B1023" s="127"/>
      <c r="C1023" s="899" t="s">
        <v>543</v>
      </c>
      <c r="D1023" s="899"/>
      <c r="E1023" s="899"/>
      <c r="F1023" s="899"/>
      <c r="G1023" s="899"/>
    </row>
    <row r="1024" spans="1:17" s="129" customFormat="1" ht="44.25" customHeight="1">
      <c r="A1024" s="126"/>
      <c r="B1024" s="127"/>
      <c r="C1024" s="899" t="s">
        <v>544</v>
      </c>
      <c r="D1024" s="899"/>
      <c r="E1024" s="899"/>
      <c r="F1024" s="899"/>
      <c r="G1024" s="899"/>
    </row>
    <row r="1025" spans="1:18" s="129" customFormat="1" ht="56.25" customHeight="1">
      <c r="A1025" s="126"/>
      <c r="B1025" s="127"/>
      <c r="C1025" s="899" t="s">
        <v>545</v>
      </c>
      <c r="D1025" s="899"/>
      <c r="E1025" s="899"/>
      <c r="F1025" s="899"/>
      <c r="G1025" s="899"/>
    </row>
    <row r="1026" spans="1:18" s="129" customFormat="1" ht="51.75" customHeight="1">
      <c r="A1026" s="126"/>
      <c r="B1026" s="127"/>
      <c r="C1026" s="899" t="s">
        <v>546</v>
      </c>
      <c r="D1026" s="899"/>
      <c r="E1026" s="899"/>
      <c r="F1026" s="899"/>
      <c r="G1026" s="899"/>
    </row>
    <row r="1027" spans="1:18" s="21" customFormat="1">
      <c r="A1027" s="121"/>
      <c r="B1027" s="122"/>
      <c r="C1027" s="912"/>
      <c r="D1027" s="912"/>
      <c r="E1027" s="912"/>
      <c r="F1027" s="912"/>
      <c r="G1027" s="912"/>
    </row>
    <row r="1028" spans="1:18" s="129" customFormat="1" ht="69" customHeight="1">
      <c r="A1028" s="126"/>
      <c r="B1028" s="127"/>
      <c r="C1028" s="899" t="s">
        <v>547</v>
      </c>
      <c r="D1028" s="899"/>
      <c r="E1028" s="899"/>
      <c r="F1028" s="899"/>
      <c r="G1028" s="899"/>
    </row>
    <row r="1029" spans="1:18" s="129" customFormat="1" ht="33.75" customHeight="1">
      <c r="A1029" s="126"/>
      <c r="B1029" s="127"/>
      <c r="C1029" s="899" t="s">
        <v>911</v>
      </c>
      <c r="D1029" s="899"/>
      <c r="E1029" s="899"/>
      <c r="F1029" s="899"/>
      <c r="G1029" s="899"/>
    </row>
    <row r="1030" spans="1:18" s="129" customFormat="1" ht="54.75" customHeight="1">
      <c r="A1030" s="126"/>
      <c r="B1030" s="127"/>
      <c r="C1030" s="899" t="s">
        <v>548</v>
      </c>
      <c r="D1030" s="899"/>
      <c r="E1030" s="899"/>
      <c r="F1030" s="899"/>
      <c r="G1030" s="899"/>
    </row>
    <row r="1031" spans="1:18" s="129" customFormat="1">
      <c r="A1031" s="126"/>
      <c r="B1031" s="127"/>
      <c r="C1031" s="899"/>
      <c r="D1031" s="899"/>
      <c r="E1031" s="899"/>
      <c r="F1031" s="899"/>
      <c r="G1031" s="899"/>
    </row>
    <row r="1032" spans="1:18" s="129" customFormat="1" ht="45.75" customHeight="1">
      <c r="A1032" s="126"/>
      <c r="B1032" s="127"/>
      <c r="C1032" s="899" t="s">
        <v>549</v>
      </c>
      <c r="D1032" s="899"/>
      <c r="E1032" s="899"/>
      <c r="F1032" s="899"/>
      <c r="G1032" s="899"/>
    </row>
    <row r="1033" spans="1:18" s="21" customFormat="1" ht="14.25" customHeight="1">
      <c r="A1033" s="121"/>
      <c r="B1033" s="122"/>
      <c r="C1033" s="912"/>
      <c r="D1033" s="912"/>
      <c r="E1033" s="912"/>
      <c r="F1033" s="912"/>
      <c r="G1033" s="912"/>
    </row>
    <row r="1034" spans="1:18" s="268" customFormat="1" ht="67.5" customHeight="1">
      <c r="A1034" s="126"/>
      <c r="B1034" s="127"/>
      <c r="C1034" s="899" t="s">
        <v>550</v>
      </c>
      <c r="D1034" s="899"/>
      <c r="E1034" s="899"/>
      <c r="F1034" s="899"/>
      <c r="G1034" s="899"/>
    </row>
    <row r="1035" spans="1:18" s="129" customFormat="1" ht="35.25" customHeight="1">
      <c r="A1035" s="126"/>
      <c r="B1035" s="127"/>
      <c r="C1035" s="899" t="s">
        <v>551</v>
      </c>
      <c r="D1035" s="899"/>
      <c r="E1035" s="899"/>
      <c r="F1035" s="899"/>
      <c r="G1035" s="899"/>
    </row>
    <row r="1036" spans="1:18" s="21" customFormat="1" ht="27" customHeight="1">
      <c r="A1036" s="121"/>
      <c r="B1036" s="122"/>
      <c r="C1036" s="123"/>
      <c r="D1036" s="269"/>
      <c r="E1036" s="270"/>
      <c r="F1036" s="140"/>
      <c r="G1036" s="140"/>
      <c r="I1036" s="123"/>
      <c r="J1036" s="271"/>
      <c r="K1036" s="271"/>
      <c r="L1036" s="271"/>
      <c r="M1036" s="271"/>
      <c r="N1036" s="271"/>
      <c r="O1036" s="271"/>
      <c r="P1036" s="271"/>
      <c r="Q1036" s="271"/>
      <c r="R1036" s="271"/>
    </row>
    <row r="1037" spans="1:18" s="129" customFormat="1" ht="15" customHeight="1">
      <c r="A1037" s="126"/>
      <c r="B1037" s="243"/>
      <c r="C1037" s="899" t="s">
        <v>552</v>
      </c>
      <c r="D1037" s="899"/>
      <c r="E1037" s="899"/>
      <c r="F1037" s="899"/>
      <c r="G1037" s="899"/>
      <c r="I1037" s="240"/>
      <c r="J1037" s="240"/>
      <c r="K1037" s="240"/>
      <c r="L1037" s="240"/>
      <c r="M1037" s="240"/>
      <c r="N1037" s="240"/>
      <c r="O1037" s="240"/>
      <c r="P1037" s="240"/>
      <c r="Q1037" s="240"/>
      <c r="R1037" s="240"/>
    </row>
    <row r="1038" spans="1:18" s="129" customFormat="1" ht="15" customHeight="1">
      <c r="A1038" s="126"/>
      <c r="B1038" s="127"/>
      <c r="C1038" s="899" t="s">
        <v>392</v>
      </c>
      <c r="D1038" s="899"/>
      <c r="E1038" s="899"/>
      <c r="F1038" s="899"/>
      <c r="G1038" s="899"/>
      <c r="I1038" s="240"/>
      <c r="J1038" s="240"/>
      <c r="K1038" s="240"/>
      <c r="L1038" s="240"/>
      <c r="M1038" s="240"/>
      <c r="N1038" s="240"/>
      <c r="O1038" s="240"/>
      <c r="P1038" s="240"/>
      <c r="Q1038" s="240"/>
      <c r="R1038" s="240"/>
    </row>
    <row r="1039" spans="1:18" s="129" customFormat="1" ht="47.25" customHeight="1">
      <c r="A1039" s="126"/>
      <c r="B1039" s="127"/>
      <c r="C1039" s="899" t="s">
        <v>393</v>
      </c>
      <c r="D1039" s="899"/>
      <c r="E1039" s="899"/>
      <c r="F1039" s="899"/>
      <c r="G1039" s="899"/>
      <c r="I1039" s="240"/>
      <c r="J1039" s="240"/>
      <c r="K1039" s="240"/>
      <c r="L1039" s="240"/>
      <c r="M1039" s="240"/>
      <c r="N1039" s="240"/>
      <c r="O1039" s="240"/>
      <c r="P1039" s="240"/>
      <c r="Q1039" s="240"/>
      <c r="R1039" s="240"/>
    </row>
    <row r="1040" spans="1:18" s="129" customFormat="1">
      <c r="A1040" s="126"/>
      <c r="B1040" s="127"/>
      <c r="C1040" s="899"/>
      <c r="D1040" s="899"/>
      <c r="E1040" s="899"/>
      <c r="F1040" s="899"/>
      <c r="G1040" s="899"/>
      <c r="I1040" s="240"/>
      <c r="J1040" s="240"/>
      <c r="K1040" s="240"/>
      <c r="L1040" s="240"/>
      <c r="M1040" s="240"/>
      <c r="N1040" s="240"/>
      <c r="O1040" s="240"/>
      <c r="P1040" s="240"/>
      <c r="Q1040" s="240"/>
      <c r="R1040" s="240"/>
    </row>
    <row r="1041" spans="1:18" s="129" customFormat="1" ht="13.15">
      <c r="A1041" s="162"/>
      <c r="B1041" s="243"/>
      <c r="C1041" s="899" t="s">
        <v>553</v>
      </c>
      <c r="D1041" s="899"/>
      <c r="E1041" s="899"/>
      <c r="F1041" s="899"/>
      <c r="G1041" s="899"/>
      <c r="I1041" s="240"/>
      <c r="J1041" s="240"/>
      <c r="K1041" s="240"/>
      <c r="L1041" s="240"/>
      <c r="M1041" s="240"/>
      <c r="N1041" s="240"/>
      <c r="O1041" s="240"/>
      <c r="P1041" s="240"/>
      <c r="Q1041" s="240"/>
      <c r="R1041" s="240"/>
    </row>
    <row r="1042" spans="1:18" s="129" customFormat="1" ht="26.25" customHeight="1">
      <c r="A1042" s="126"/>
      <c r="B1042" s="127"/>
      <c r="C1042" s="899" t="s">
        <v>554</v>
      </c>
      <c r="D1042" s="899"/>
      <c r="E1042" s="899"/>
      <c r="F1042" s="899"/>
      <c r="G1042" s="899"/>
      <c r="I1042" s="240"/>
      <c r="J1042" s="240"/>
      <c r="K1042" s="240"/>
      <c r="L1042" s="240"/>
      <c r="M1042" s="240"/>
      <c r="N1042" s="240"/>
      <c r="O1042" s="240"/>
      <c r="P1042" s="240"/>
      <c r="Q1042" s="240"/>
      <c r="R1042" s="240"/>
    </row>
    <row r="1043" spans="1:18" s="129" customFormat="1" ht="28.5" customHeight="1">
      <c r="A1043" s="126"/>
      <c r="B1043" s="127"/>
      <c r="C1043" s="899" t="s">
        <v>912</v>
      </c>
      <c r="D1043" s="899"/>
      <c r="E1043" s="899"/>
      <c r="F1043" s="899"/>
      <c r="G1043" s="899"/>
      <c r="I1043" s="240"/>
      <c r="J1043" s="240"/>
      <c r="K1043" s="240"/>
      <c r="L1043" s="240"/>
      <c r="M1043" s="240"/>
      <c r="N1043" s="240"/>
      <c r="O1043" s="240"/>
      <c r="P1043" s="240"/>
      <c r="Q1043" s="240"/>
      <c r="R1043" s="240"/>
    </row>
    <row r="1044" spans="1:18" s="129" customFormat="1" ht="20.25" customHeight="1">
      <c r="A1044" s="126"/>
      <c r="B1044" s="127"/>
      <c r="C1044" s="899" t="s">
        <v>555</v>
      </c>
      <c r="D1044" s="899"/>
      <c r="E1044" s="899"/>
      <c r="F1044" s="899"/>
      <c r="G1044" s="899"/>
      <c r="I1044" s="240"/>
      <c r="J1044" s="240"/>
      <c r="K1044" s="240"/>
      <c r="L1044" s="240"/>
      <c r="M1044" s="240"/>
      <c r="N1044" s="240"/>
      <c r="O1044" s="240"/>
      <c r="P1044" s="240"/>
      <c r="Q1044" s="240"/>
      <c r="R1044" s="240"/>
    </row>
    <row r="1045" spans="1:18" s="129" customFormat="1" ht="27.75" customHeight="1">
      <c r="A1045" s="126"/>
      <c r="B1045" s="127"/>
      <c r="C1045" s="899" t="s">
        <v>556</v>
      </c>
      <c r="D1045" s="899"/>
      <c r="E1045" s="899"/>
      <c r="F1045" s="899"/>
      <c r="G1045" s="899"/>
      <c r="I1045" s="240"/>
      <c r="J1045" s="240"/>
      <c r="K1045" s="240"/>
      <c r="L1045" s="240"/>
      <c r="M1045" s="240"/>
      <c r="N1045" s="240"/>
      <c r="O1045" s="240"/>
      <c r="P1045" s="240"/>
      <c r="Q1045" s="240"/>
      <c r="R1045" s="240"/>
    </row>
    <row r="1046" spans="1:18" s="129" customFormat="1" ht="25.5" customHeight="1">
      <c r="A1046" s="126"/>
      <c r="B1046" s="127"/>
      <c r="C1046" s="899" t="s">
        <v>557</v>
      </c>
      <c r="D1046" s="899"/>
      <c r="E1046" s="899"/>
      <c r="F1046" s="899"/>
      <c r="G1046" s="899"/>
      <c r="I1046" s="240"/>
      <c r="J1046" s="240"/>
      <c r="K1046" s="240"/>
      <c r="L1046" s="240"/>
      <c r="M1046" s="240"/>
      <c r="N1046" s="240"/>
      <c r="O1046" s="240"/>
      <c r="P1046" s="240"/>
      <c r="Q1046" s="240"/>
      <c r="R1046" s="240"/>
    </row>
    <row r="1047" spans="1:18" s="129" customFormat="1" ht="30" customHeight="1">
      <c r="A1047" s="126"/>
      <c r="B1047" s="127"/>
      <c r="C1047" s="899" t="s">
        <v>558</v>
      </c>
      <c r="D1047" s="899"/>
      <c r="E1047" s="899"/>
      <c r="F1047" s="899"/>
      <c r="G1047" s="899"/>
      <c r="I1047" s="240"/>
      <c r="J1047" s="240"/>
      <c r="K1047" s="240"/>
      <c r="L1047" s="240"/>
      <c r="M1047" s="240"/>
      <c r="N1047" s="240"/>
      <c r="O1047" s="240"/>
      <c r="P1047" s="240"/>
      <c r="Q1047" s="240"/>
      <c r="R1047" s="240"/>
    </row>
    <row r="1048" spans="1:18" s="129" customFormat="1" ht="28.5" customHeight="1">
      <c r="A1048" s="126"/>
      <c r="B1048" s="127"/>
      <c r="C1048" s="899" t="s">
        <v>559</v>
      </c>
      <c r="D1048" s="899"/>
      <c r="E1048" s="899"/>
      <c r="F1048" s="899"/>
      <c r="G1048" s="899"/>
      <c r="I1048" s="240"/>
      <c r="J1048" s="240"/>
      <c r="K1048" s="240"/>
      <c r="L1048" s="240"/>
      <c r="M1048" s="240"/>
      <c r="N1048" s="240"/>
      <c r="O1048" s="240"/>
      <c r="P1048" s="240"/>
      <c r="Q1048" s="240"/>
      <c r="R1048" s="240"/>
    </row>
    <row r="1049" spans="1:18" s="129" customFormat="1" ht="33" customHeight="1">
      <c r="A1049" s="126"/>
      <c r="B1049" s="127"/>
      <c r="C1049" s="899" t="s">
        <v>560</v>
      </c>
      <c r="D1049" s="899"/>
      <c r="E1049" s="899"/>
      <c r="F1049" s="899"/>
      <c r="G1049" s="899"/>
      <c r="I1049" s="163"/>
      <c r="J1049" s="163"/>
      <c r="K1049" s="163"/>
      <c r="L1049" s="163"/>
      <c r="M1049" s="163"/>
      <c r="N1049" s="163"/>
      <c r="O1049" s="163"/>
      <c r="P1049" s="163"/>
      <c r="Q1049" s="163"/>
    </row>
    <row r="1050" spans="1:18" s="129" customFormat="1" ht="33" customHeight="1">
      <c r="A1050" s="126"/>
      <c r="B1050" s="127"/>
      <c r="C1050" s="899" t="s">
        <v>561</v>
      </c>
      <c r="D1050" s="899"/>
      <c r="E1050" s="899"/>
      <c r="F1050" s="899"/>
      <c r="G1050" s="899"/>
      <c r="I1050" s="163"/>
      <c r="J1050" s="163"/>
      <c r="K1050" s="163"/>
      <c r="L1050" s="163"/>
      <c r="M1050" s="163"/>
      <c r="N1050" s="163"/>
      <c r="O1050" s="163"/>
      <c r="P1050" s="163"/>
      <c r="Q1050" s="163"/>
    </row>
    <row r="1051" spans="1:18" s="129" customFormat="1" ht="35.25" customHeight="1">
      <c r="A1051" s="126"/>
      <c r="B1051" s="127"/>
      <c r="C1051" s="899" t="s">
        <v>562</v>
      </c>
      <c r="D1051" s="899"/>
      <c r="E1051" s="899"/>
      <c r="F1051" s="899"/>
      <c r="G1051" s="899"/>
      <c r="I1051" s="163"/>
      <c r="J1051" s="163"/>
      <c r="K1051" s="163"/>
      <c r="L1051" s="163"/>
      <c r="M1051" s="163"/>
      <c r="N1051" s="163"/>
      <c r="O1051" s="163"/>
      <c r="P1051" s="163"/>
      <c r="Q1051" s="163"/>
    </row>
    <row r="1052" spans="1:18" s="129" customFormat="1" ht="39.75" customHeight="1">
      <c r="A1052" s="126"/>
      <c r="B1052" s="127"/>
      <c r="C1052" s="899" t="s">
        <v>563</v>
      </c>
      <c r="D1052" s="899"/>
      <c r="E1052" s="899"/>
      <c r="F1052" s="899"/>
      <c r="G1052" s="899"/>
      <c r="I1052" s="163"/>
      <c r="J1052" s="163"/>
      <c r="K1052" s="163"/>
      <c r="L1052" s="163"/>
      <c r="M1052" s="163"/>
      <c r="N1052" s="163"/>
      <c r="O1052" s="163"/>
      <c r="P1052" s="163"/>
      <c r="Q1052" s="163"/>
    </row>
    <row r="1053" spans="1:18" s="129" customFormat="1" ht="39" customHeight="1">
      <c r="A1053" s="126"/>
      <c r="B1053" s="127"/>
      <c r="C1053" s="899" t="s">
        <v>564</v>
      </c>
      <c r="D1053" s="899"/>
      <c r="E1053" s="899"/>
      <c r="F1053" s="899"/>
      <c r="G1053" s="899"/>
      <c r="I1053" s="163"/>
      <c r="J1053" s="163"/>
      <c r="K1053" s="163"/>
      <c r="L1053" s="163"/>
      <c r="M1053" s="163"/>
      <c r="N1053" s="163"/>
      <c r="O1053" s="163"/>
      <c r="P1053" s="163"/>
      <c r="Q1053" s="163"/>
    </row>
    <row r="1054" spans="1:18" s="129" customFormat="1" ht="30" customHeight="1">
      <c r="A1054" s="126"/>
      <c r="B1054" s="127"/>
      <c r="C1054" s="899" t="s">
        <v>565</v>
      </c>
      <c r="D1054" s="899"/>
      <c r="E1054" s="899"/>
      <c r="F1054" s="899"/>
      <c r="G1054" s="899"/>
      <c r="I1054" s="922"/>
      <c r="J1054" s="922"/>
      <c r="K1054" s="922"/>
      <c r="L1054" s="922"/>
      <c r="M1054" s="922"/>
    </row>
    <row r="1055" spans="1:18" s="129" customFormat="1" ht="34.5" customHeight="1">
      <c r="A1055" s="126"/>
      <c r="B1055" s="127"/>
      <c r="C1055" s="899" t="s">
        <v>566</v>
      </c>
      <c r="D1055" s="899"/>
      <c r="E1055" s="899"/>
      <c r="F1055" s="899"/>
      <c r="G1055" s="899"/>
    </row>
    <row r="1056" spans="1:18" s="129" customFormat="1" ht="13.5" customHeight="1">
      <c r="A1056" s="126"/>
      <c r="B1056" s="127"/>
      <c r="C1056" s="899"/>
      <c r="D1056" s="899"/>
      <c r="E1056" s="899"/>
      <c r="F1056" s="899"/>
      <c r="G1056" s="899"/>
    </row>
    <row r="1057" spans="1:7" s="129" customFormat="1" ht="13.5" customHeight="1">
      <c r="A1057" s="126"/>
      <c r="B1057" s="127"/>
      <c r="C1057" s="911" t="s">
        <v>567</v>
      </c>
      <c r="D1057" s="911"/>
      <c r="E1057" s="911"/>
      <c r="F1057" s="911"/>
      <c r="G1057" s="911"/>
    </row>
    <row r="1058" spans="1:7" s="129" customFormat="1" ht="75" customHeight="1">
      <c r="A1058" s="126"/>
      <c r="B1058" s="127"/>
      <c r="C1058" s="899" t="s">
        <v>568</v>
      </c>
      <c r="D1058" s="899"/>
      <c r="E1058" s="899"/>
      <c r="F1058" s="899"/>
      <c r="G1058" s="899"/>
    </row>
    <row r="1059" spans="1:7" s="129" customFormat="1" ht="51.75" customHeight="1">
      <c r="A1059" s="126"/>
      <c r="B1059" s="127"/>
      <c r="C1059" s="899" t="s">
        <v>569</v>
      </c>
      <c r="D1059" s="899"/>
      <c r="E1059" s="899"/>
      <c r="F1059" s="899"/>
      <c r="G1059" s="899"/>
    </row>
    <row r="1060" spans="1:7" s="129" customFormat="1" ht="54.75" customHeight="1">
      <c r="A1060" s="126"/>
      <c r="B1060" s="127"/>
      <c r="C1060" s="899" t="s">
        <v>913</v>
      </c>
      <c r="D1060" s="899"/>
      <c r="E1060" s="899"/>
      <c r="F1060" s="899"/>
      <c r="G1060" s="899"/>
    </row>
    <row r="1061" spans="1:7" s="129" customFormat="1" ht="13.5" customHeight="1">
      <c r="A1061" s="126"/>
      <c r="B1061" s="127"/>
      <c r="C1061" s="899" t="s">
        <v>570</v>
      </c>
      <c r="D1061" s="899"/>
      <c r="E1061" s="899"/>
      <c r="F1061" s="899"/>
      <c r="G1061" s="899"/>
    </row>
    <row r="1062" spans="1:7" s="129" customFormat="1" ht="13.5" customHeight="1">
      <c r="A1062" s="126"/>
      <c r="B1062" s="127"/>
      <c r="C1062" s="899" t="s">
        <v>571</v>
      </c>
      <c r="D1062" s="899"/>
      <c r="E1062" s="899"/>
      <c r="F1062" s="899"/>
      <c r="G1062" s="899"/>
    </row>
    <row r="1063" spans="1:7" s="129" customFormat="1" ht="22.5" customHeight="1">
      <c r="A1063" s="126"/>
      <c r="B1063" s="127"/>
      <c r="C1063" s="899" t="s">
        <v>572</v>
      </c>
      <c r="D1063" s="899"/>
      <c r="E1063" s="899"/>
      <c r="F1063" s="899"/>
      <c r="G1063" s="899"/>
    </row>
    <row r="1064" spans="1:7" s="129" customFormat="1" ht="21" customHeight="1">
      <c r="A1064" s="126"/>
      <c r="B1064" s="127"/>
      <c r="C1064" s="899" t="s">
        <v>573</v>
      </c>
      <c r="D1064" s="899"/>
      <c r="E1064" s="899"/>
      <c r="F1064" s="899"/>
      <c r="G1064" s="899"/>
    </row>
    <row r="1065" spans="1:7" s="129" customFormat="1" ht="13.5" customHeight="1">
      <c r="A1065" s="126"/>
      <c r="B1065" s="127"/>
      <c r="C1065" s="899" t="s">
        <v>574</v>
      </c>
      <c r="D1065" s="899"/>
      <c r="E1065" s="899"/>
      <c r="F1065" s="899"/>
      <c r="G1065" s="899"/>
    </row>
    <row r="1066" spans="1:7" s="129" customFormat="1" ht="13.5" customHeight="1">
      <c r="A1066" s="126"/>
      <c r="B1066" s="127"/>
      <c r="C1066" s="899" t="s">
        <v>575</v>
      </c>
      <c r="D1066" s="899"/>
      <c r="E1066" s="899"/>
      <c r="F1066" s="899"/>
      <c r="G1066" s="899"/>
    </row>
    <row r="1067" spans="1:7" s="129" customFormat="1" ht="13.5" customHeight="1">
      <c r="A1067" s="126"/>
      <c r="B1067" s="127"/>
      <c r="C1067" s="899" t="s">
        <v>576</v>
      </c>
      <c r="D1067" s="899"/>
      <c r="E1067" s="899"/>
      <c r="F1067" s="899"/>
      <c r="G1067" s="899"/>
    </row>
    <row r="1068" spans="1:7" s="129" customFormat="1" ht="13.5" customHeight="1">
      <c r="A1068" s="126"/>
      <c r="B1068" s="127"/>
      <c r="C1068" s="899" t="s">
        <v>577</v>
      </c>
      <c r="D1068" s="899"/>
      <c r="E1068" s="899"/>
      <c r="F1068" s="899"/>
      <c r="G1068" s="899"/>
    </row>
    <row r="1069" spans="1:7" s="129" customFormat="1" ht="13.5" customHeight="1">
      <c r="A1069" s="126"/>
      <c r="B1069" s="127"/>
      <c r="C1069" s="899"/>
      <c r="D1069" s="899"/>
      <c r="E1069" s="899"/>
      <c r="F1069" s="899"/>
      <c r="G1069" s="899"/>
    </row>
    <row r="1070" spans="1:7" s="129" customFormat="1" ht="13.5" customHeight="1">
      <c r="A1070" s="126"/>
      <c r="B1070" s="127"/>
      <c r="C1070" s="911" t="s">
        <v>578</v>
      </c>
      <c r="D1070" s="911"/>
      <c r="E1070" s="911"/>
      <c r="F1070" s="911"/>
      <c r="G1070" s="911"/>
    </row>
    <row r="1071" spans="1:7" s="129" customFormat="1" ht="24.75" customHeight="1">
      <c r="A1071" s="126"/>
      <c r="B1071" s="127"/>
      <c r="C1071" s="899" t="s">
        <v>939</v>
      </c>
      <c r="D1071" s="899"/>
      <c r="E1071" s="899"/>
      <c r="F1071" s="899"/>
      <c r="G1071" s="899"/>
    </row>
    <row r="1072" spans="1:7" s="129" customFormat="1" ht="24.75" customHeight="1">
      <c r="A1072" s="126"/>
      <c r="B1072" s="127"/>
      <c r="C1072" s="899" t="s">
        <v>579</v>
      </c>
      <c r="D1072" s="899"/>
      <c r="E1072" s="899"/>
      <c r="F1072" s="899"/>
      <c r="G1072" s="899"/>
    </row>
    <row r="1073" spans="1:10" s="129" customFormat="1" ht="24.75" customHeight="1">
      <c r="A1073" s="126"/>
      <c r="B1073" s="127"/>
      <c r="C1073" s="899" t="s">
        <v>580</v>
      </c>
      <c r="D1073" s="899"/>
      <c r="E1073" s="899"/>
      <c r="F1073" s="899"/>
      <c r="G1073" s="899"/>
    </row>
    <row r="1074" spans="1:10" s="129" customFormat="1" ht="24.75" customHeight="1">
      <c r="A1074" s="126"/>
      <c r="B1074" s="127"/>
      <c r="C1074" s="899" t="s">
        <v>581</v>
      </c>
      <c r="D1074" s="899"/>
      <c r="E1074" s="899"/>
      <c r="F1074" s="899"/>
      <c r="G1074" s="899"/>
    </row>
    <row r="1075" spans="1:10" s="129" customFormat="1" ht="24.75" customHeight="1">
      <c r="A1075" s="126"/>
      <c r="B1075" s="127"/>
      <c r="C1075" s="899" t="s">
        <v>582</v>
      </c>
      <c r="D1075" s="899"/>
      <c r="E1075" s="899"/>
      <c r="F1075" s="899"/>
      <c r="G1075" s="899"/>
    </row>
    <row r="1076" spans="1:10" s="49" customFormat="1" ht="24.75" customHeight="1">
      <c r="A1076" s="126"/>
      <c r="B1076" s="127"/>
      <c r="C1076" s="899" t="s">
        <v>583</v>
      </c>
      <c r="D1076" s="899"/>
      <c r="E1076" s="899"/>
      <c r="F1076" s="899"/>
      <c r="G1076" s="899"/>
    </row>
    <row r="1077" spans="1:10" s="49" customFormat="1" ht="24.75" customHeight="1">
      <c r="A1077" s="126"/>
      <c r="B1077" s="127"/>
      <c r="C1077" s="899" t="s">
        <v>584</v>
      </c>
      <c r="D1077" s="899"/>
      <c r="E1077" s="899"/>
      <c r="F1077" s="899"/>
      <c r="G1077" s="899"/>
    </row>
    <row r="1078" spans="1:10" s="49" customFormat="1" ht="24.75" customHeight="1">
      <c r="A1078" s="126"/>
      <c r="B1078" s="127"/>
      <c r="C1078" s="899" t="s">
        <v>936</v>
      </c>
      <c r="D1078" s="899"/>
      <c r="E1078" s="899"/>
      <c r="F1078" s="899"/>
      <c r="G1078" s="899"/>
    </row>
    <row r="1079" spans="1:10" s="49" customFormat="1" ht="24.75" customHeight="1">
      <c r="A1079" s="126"/>
      <c r="B1079" s="127"/>
      <c r="C1079" s="899" t="s">
        <v>585</v>
      </c>
      <c r="D1079" s="899"/>
      <c r="E1079" s="899"/>
      <c r="F1079" s="899"/>
      <c r="G1079" s="899"/>
    </row>
    <row r="1080" spans="1:10" s="49" customFormat="1" ht="24.75" customHeight="1">
      <c r="A1080" s="126"/>
      <c r="B1080" s="127"/>
      <c r="C1080" s="899" t="s">
        <v>586</v>
      </c>
      <c r="D1080" s="899"/>
      <c r="E1080" s="899"/>
      <c r="F1080" s="899"/>
      <c r="G1080" s="899"/>
    </row>
    <row r="1081" spans="1:10" s="49" customFormat="1" ht="24.75" customHeight="1">
      <c r="A1081" s="126"/>
      <c r="B1081" s="127"/>
      <c r="C1081" s="922" t="s">
        <v>587</v>
      </c>
      <c r="D1081" s="922"/>
      <c r="E1081" s="922"/>
      <c r="F1081" s="922"/>
      <c r="G1081" s="922"/>
    </row>
    <row r="1082" spans="1:10" s="26" customFormat="1">
      <c r="A1082" s="121"/>
      <c r="B1082" s="122"/>
      <c r="C1082" s="133"/>
      <c r="D1082" s="133"/>
      <c r="E1082" s="133"/>
      <c r="F1082" s="137"/>
      <c r="G1082" s="137"/>
    </row>
    <row r="1083" spans="1:10" s="26" customFormat="1" ht="13.15">
      <c r="A1083" s="117"/>
      <c r="B1083" s="105"/>
      <c r="C1083" s="204"/>
      <c r="D1083" s="50"/>
      <c r="E1083" s="34"/>
      <c r="F1083" s="29"/>
      <c r="G1083" s="29"/>
    </row>
    <row r="1084" spans="1:10" s="24" customFormat="1" ht="25.5">
      <c r="A1084" s="111" t="s">
        <v>123</v>
      </c>
      <c r="B1084" s="112"/>
      <c r="C1084" s="212" t="s">
        <v>114</v>
      </c>
      <c r="D1084" s="36"/>
      <c r="E1084" s="203"/>
      <c r="F1084" s="29"/>
      <c r="G1084" s="29"/>
    </row>
    <row r="1085" spans="1:10" s="24" customFormat="1" ht="25.5">
      <c r="A1085" s="111"/>
      <c r="B1085" s="112"/>
      <c r="C1085" s="212" t="s">
        <v>115</v>
      </c>
      <c r="D1085" s="36"/>
      <c r="E1085" s="203"/>
      <c r="F1085" s="29"/>
      <c r="G1085" s="29"/>
    </row>
    <row r="1086" spans="1:10" s="24" customFormat="1" ht="13.15">
      <c r="A1086" s="111"/>
      <c r="B1086" s="112"/>
      <c r="C1086" s="33"/>
      <c r="D1086" s="36"/>
      <c r="E1086" s="203"/>
      <c r="F1086" s="29"/>
      <c r="G1086" s="29"/>
      <c r="I1086" s="947"/>
      <c r="J1086" s="947"/>
    </row>
    <row r="1087" spans="1:10" s="24" customFormat="1" ht="13.15">
      <c r="A1087" s="111"/>
      <c r="B1087" s="112"/>
      <c r="C1087" s="33" t="s">
        <v>31</v>
      </c>
      <c r="D1087" s="36"/>
      <c r="E1087" s="203"/>
      <c r="F1087" s="29"/>
      <c r="G1087" s="29"/>
    </row>
    <row r="1088" spans="1:10" s="24" customFormat="1" ht="51">
      <c r="A1088" s="111"/>
      <c r="B1088" s="112"/>
      <c r="C1088" s="137" t="s">
        <v>937</v>
      </c>
      <c r="D1088" s="36"/>
      <c r="E1088" s="110"/>
      <c r="F1088" s="29"/>
      <c r="G1088" s="29"/>
    </row>
    <row r="1089" spans="1:12" s="24" customFormat="1" ht="38.25">
      <c r="A1089" s="111"/>
      <c r="B1089" s="112"/>
      <c r="C1089" s="137" t="s">
        <v>938</v>
      </c>
      <c r="D1089" s="36"/>
      <c r="E1089" s="110"/>
      <c r="F1089" s="29"/>
      <c r="G1089" s="29"/>
      <c r="I1089" s="110"/>
    </row>
    <row r="1090" spans="1:12" s="26" customFormat="1" ht="13.15">
      <c r="A1090" s="117"/>
      <c r="B1090" s="105"/>
      <c r="C1090" s="272"/>
      <c r="D1090" s="50"/>
      <c r="E1090" s="44"/>
      <c r="F1090" s="29"/>
      <c r="G1090" s="29"/>
    </row>
    <row r="1091" spans="1:12" s="24" customFormat="1" ht="13.15">
      <c r="A1091" s="111"/>
      <c r="B1091" s="112"/>
      <c r="C1091" s="32" t="s">
        <v>32</v>
      </c>
      <c r="D1091" s="36"/>
      <c r="E1091" s="110"/>
      <c r="F1091" s="29"/>
      <c r="G1091" s="29"/>
    </row>
    <row r="1092" spans="1:12" s="24" customFormat="1" ht="133.5" customHeight="1">
      <c r="A1092" s="111" t="s">
        <v>123</v>
      </c>
      <c r="B1092" s="112">
        <v>1</v>
      </c>
      <c r="C1092" s="137" t="s">
        <v>923</v>
      </c>
      <c r="D1092" s="112"/>
      <c r="E1092" s="324"/>
      <c r="F1092" s="300"/>
      <c r="G1092" s="300"/>
    </row>
    <row r="1093" spans="1:12" s="26" customFormat="1" ht="25.5">
      <c r="A1093" s="117"/>
      <c r="B1093" s="105"/>
      <c r="C1093" s="32" t="s">
        <v>924</v>
      </c>
      <c r="D1093" s="402"/>
      <c r="E1093" s="447"/>
      <c r="F1093" s="300"/>
      <c r="G1093" s="300"/>
    </row>
    <row r="1094" spans="1:12" s="26" customFormat="1" ht="13.15">
      <c r="A1094" s="117"/>
      <c r="B1094" s="105"/>
      <c r="C1094" s="134"/>
      <c r="D1094" s="139" t="s">
        <v>2</v>
      </c>
      <c r="E1094" s="324">
        <v>1596.05</v>
      </c>
      <c r="F1094" s="403"/>
      <c r="G1094" s="354">
        <f t="shared" ref="G1094" si="71">E1094*F1094</f>
        <v>0</v>
      </c>
    </row>
    <row r="1095" spans="1:12" s="26" customFormat="1" ht="13.15">
      <c r="A1095" s="117"/>
      <c r="B1095" s="105"/>
      <c r="C1095" s="134"/>
      <c r="D1095" s="146"/>
      <c r="E1095" s="215"/>
      <c r="F1095" s="300"/>
      <c r="G1095" s="300"/>
    </row>
    <row r="1096" spans="1:12" s="24" customFormat="1" ht="13.15">
      <c r="A1096" s="111"/>
      <c r="B1096" s="112"/>
      <c r="C1096" s="32" t="s">
        <v>33</v>
      </c>
      <c r="D1096" s="112"/>
      <c r="E1096" s="324"/>
      <c r="F1096" s="300"/>
      <c r="G1096" s="300"/>
    </row>
    <row r="1097" spans="1:12" s="24" customFormat="1" ht="64.150000000000006">
      <c r="A1097" s="111" t="s">
        <v>123</v>
      </c>
      <c r="B1097" s="112">
        <v>2</v>
      </c>
      <c r="C1097" s="156" t="s">
        <v>1148</v>
      </c>
      <c r="D1097" s="112"/>
      <c r="E1097" s="324"/>
      <c r="F1097" s="300"/>
      <c r="G1097" s="300"/>
    </row>
    <row r="1098" spans="1:12" s="24" customFormat="1" ht="102.4">
      <c r="A1098" s="111"/>
      <c r="B1098" s="112"/>
      <c r="C1098" s="156" t="s">
        <v>929</v>
      </c>
      <c r="D1098" s="112"/>
      <c r="E1098" s="324"/>
      <c r="F1098" s="300"/>
      <c r="G1098" s="300"/>
    </row>
    <row r="1099" spans="1:12" s="24" customFormat="1" ht="38.25">
      <c r="A1099" s="111"/>
      <c r="B1099" s="112"/>
      <c r="C1099" s="156" t="s">
        <v>928</v>
      </c>
      <c r="D1099" s="112"/>
      <c r="E1099" s="324"/>
      <c r="F1099" s="300"/>
      <c r="G1099" s="300"/>
    </row>
    <row r="1100" spans="1:12" s="26" customFormat="1" ht="17.25" customHeight="1">
      <c r="A1100" s="117"/>
      <c r="B1100" s="105"/>
      <c r="C1100" s="273" t="s">
        <v>1965</v>
      </c>
      <c r="D1100" s="112" t="s">
        <v>2</v>
      </c>
      <c r="E1100" s="324">
        <v>497</v>
      </c>
      <c r="F1100" s="403">
        <v>9</v>
      </c>
      <c r="G1100" s="354">
        <f t="shared" ref="G1100" si="72">E1100*F1100</f>
        <v>4473</v>
      </c>
    </row>
    <row r="1101" spans="1:12" s="26" customFormat="1" ht="13.15">
      <c r="A1101" s="117"/>
      <c r="B1101" s="105"/>
      <c r="C1101" s="273" t="s">
        <v>1966</v>
      </c>
      <c r="D1101" s="112" t="s">
        <v>2</v>
      </c>
      <c r="E1101" s="324">
        <v>1099.05</v>
      </c>
      <c r="F1101" s="403"/>
      <c r="G1101" s="354">
        <f t="shared" ref="G1101" si="73">E1101*F1101</f>
        <v>0</v>
      </c>
    </row>
    <row r="1102" spans="1:12" s="26" customFormat="1" ht="13.15">
      <c r="A1102" s="117"/>
      <c r="B1102" s="105"/>
      <c r="C1102" s="272"/>
      <c r="D1102" s="105"/>
      <c r="E1102" s="215"/>
      <c r="F1102" s="300"/>
      <c r="G1102" s="300"/>
    </row>
    <row r="1103" spans="1:12" s="26" customFormat="1" ht="13.15">
      <c r="A1103" s="117"/>
      <c r="B1103" s="105"/>
      <c r="C1103" s="134"/>
      <c r="D1103" s="105"/>
      <c r="E1103" s="215"/>
      <c r="F1103" s="300"/>
      <c r="G1103" s="300"/>
    </row>
    <row r="1104" spans="1:12" s="24" customFormat="1" ht="25.5">
      <c r="A1104" s="111"/>
      <c r="B1104" s="112"/>
      <c r="C1104" s="32" t="s">
        <v>930</v>
      </c>
      <c r="D1104" s="112"/>
      <c r="E1104" s="324"/>
      <c r="F1104" s="300"/>
      <c r="G1104" s="300"/>
      <c r="I1104" s="274"/>
      <c r="J1104" s="274"/>
      <c r="K1104" s="274"/>
      <c r="L1104" s="274"/>
    </row>
    <row r="1105" spans="1:16" s="140" customFormat="1" ht="90">
      <c r="A1105" s="111" t="s">
        <v>123</v>
      </c>
      <c r="B1105" s="139">
        <v>3</v>
      </c>
      <c r="C1105" s="137" t="s">
        <v>943</v>
      </c>
      <c r="D1105" s="448"/>
      <c r="E1105" s="422"/>
      <c r="F1105" s="422"/>
      <c r="G1105" s="422"/>
    </row>
    <row r="1106" spans="1:16" s="140" customFormat="1" ht="38.25">
      <c r="A1106" s="207"/>
      <c r="B1106" s="276"/>
      <c r="C1106" s="277" t="s">
        <v>73</v>
      </c>
      <c r="D1106" s="448"/>
      <c r="E1106" s="385"/>
      <c r="F1106" s="385"/>
      <c r="G1106" s="385"/>
    </row>
    <row r="1107" spans="1:16" s="140" customFormat="1" ht="51">
      <c r="A1107" s="207"/>
      <c r="B1107" s="276"/>
      <c r="C1107" s="277" t="s">
        <v>944</v>
      </c>
      <c r="D1107" s="448"/>
      <c r="E1107" s="385"/>
      <c r="F1107" s="385"/>
      <c r="G1107" s="385"/>
      <c r="I1107" s="156"/>
      <c r="J1107" s="156"/>
      <c r="K1107" s="156"/>
      <c r="L1107" s="156"/>
    </row>
    <row r="1108" spans="1:16" s="140" customFormat="1" ht="63" customHeight="1">
      <c r="A1108" s="207"/>
      <c r="B1108" s="276"/>
      <c r="C1108" s="277" t="s">
        <v>74</v>
      </c>
      <c r="D1108" s="448"/>
      <c r="E1108" s="385"/>
      <c r="F1108" s="385"/>
      <c r="G1108" s="385"/>
      <c r="I1108" s="156"/>
      <c r="J1108" s="156"/>
      <c r="K1108" s="156"/>
      <c r="L1108" s="156"/>
    </row>
    <row r="1109" spans="1:16" s="140" customFormat="1" ht="51">
      <c r="A1109" s="207"/>
      <c r="B1109" s="276"/>
      <c r="C1109" s="277" t="s">
        <v>945</v>
      </c>
      <c r="D1109" s="448"/>
      <c r="E1109" s="385"/>
      <c r="F1109" s="385"/>
      <c r="G1109" s="385"/>
      <c r="I1109" s="156"/>
      <c r="J1109" s="156"/>
      <c r="K1109" s="156"/>
      <c r="L1109" s="156"/>
    </row>
    <row r="1110" spans="1:16" s="140" customFormat="1" ht="77.25" customHeight="1">
      <c r="A1110" s="207"/>
      <c r="B1110" s="276"/>
      <c r="C1110" s="278" t="s">
        <v>931</v>
      </c>
      <c r="D1110" s="275"/>
      <c r="E1110" s="206"/>
      <c r="F1110" s="206"/>
      <c r="G1110" s="206"/>
    </row>
    <row r="1111" spans="1:16" s="140" customFormat="1" ht="39" customHeight="1">
      <c r="A1111" s="207"/>
      <c r="B1111" s="276"/>
      <c r="C1111" s="277" t="s">
        <v>76</v>
      </c>
      <c r="D1111" s="275"/>
      <c r="E1111" s="206"/>
      <c r="F1111" s="206"/>
      <c r="G1111" s="206"/>
      <c r="J1111" s="156"/>
      <c r="K1111" s="156"/>
      <c r="L1111" s="156"/>
      <c r="M1111" s="156"/>
      <c r="N1111" s="156"/>
      <c r="O1111" s="156"/>
      <c r="P1111" s="156"/>
    </row>
    <row r="1112" spans="1:16" s="140" customFormat="1" ht="13.15">
      <c r="A1112" s="207"/>
      <c r="B1112" s="276"/>
      <c r="C1112" s="277"/>
      <c r="D1112" s="275"/>
      <c r="E1112" s="206"/>
      <c r="F1112" s="206"/>
      <c r="G1112" s="206"/>
      <c r="J1112" s="156"/>
      <c r="K1112" s="156"/>
      <c r="L1112" s="156"/>
      <c r="M1112" s="156"/>
      <c r="N1112" s="156"/>
      <c r="O1112" s="156"/>
      <c r="P1112" s="156"/>
    </row>
    <row r="1113" spans="1:16" s="140" customFormat="1" ht="26.25">
      <c r="A1113" s="207"/>
      <c r="B1113" s="276"/>
      <c r="C1113" s="277" t="s">
        <v>946</v>
      </c>
      <c r="D1113" s="275"/>
      <c r="E1113" s="206"/>
      <c r="F1113" s="206"/>
      <c r="G1113" s="206"/>
      <c r="J1113" s="156"/>
      <c r="K1113" s="156"/>
      <c r="L1113" s="156"/>
      <c r="M1113" s="156"/>
      <c r="N1113" s="156"/>
      <c r="O1113" s="156"/>
      <c r="P1113" s="156"/>
    </row>
    <row r="1114" spans="1:16" s="140" customFormat="1" ht="51" customHeight="1">
      <c r="A1114" s="207"/>
      <c r="B1114" s="276"/>
      <c r="C1114" s="277" t="s">
        <v>92</v>
      </c>
      <c r="D1114" s="275"/>
      <c r="E1114" s="206"/>
      <c r="F1114" s="206"/>
      <c r="G1114" s="206"/>
      <c r="J1114" s="156"/>
      <c r="K1114" s="156"/>
      <c r="L1114" s="156"/>
      <c r="M1114" s="156"/>
      <c r="N1114" s="156"/>
      <c r="O1114" s="156"/>
      <c r="P1114" s="156"/>
    </row>
    <row r="1115" spans="1:16" ht="13.15">
      <c r="A1115" s="211"/>
      <c r="B1115" s="279"/>
      <c r="C1115" s="898" t="s">
        <v>1149</v>
      </c>
      <c r="D1115" s="139" t="s">
        <v>2</v>
      </c>
      <c r="E1115" s="385">
        <v>99.95</v>
      </c>
      <c r="F1115" s="424"/>
      <c r="G1115" s="386">
        <f t="shared" ref="G1115" si="74">E1115*F1115</f>
        <v>0</v>
      </c>
      <c r="J1115" s="134"/>
      <c r="K1115" s="134"/>
      <c r="L1115" s="134"/>
      <c r="M1115" s="134"/>
      <c r="N1115" s="134"/>
      <c r="O1115" s="134"/>
      <c r="P1115" s="134"/>
    </row>
    <row r="1116" spans="1:16" ht="13.15">
      <c r="A1116" s="211"/>
      <c r="B1116" s="279"/>
      <c r="C1116" s="290"/>
      <c r="D1116" s="146"/>
      <c r="E1116" s="399"/>
      <c r="F1116" s="385"/>
      <c r="G1116" s="385"/>
      <c r="J1116" s="134"/>
      <c r="K1116" s="134"/>
      <c r="L1116" s="134"/>
      <c r="M1116" s="134"/>
      <c r="N1116" s="134"/>
      <c r="O1116" s="134"/>
      <c r="P1116" s="134"/>
    </row>
    <row r="1117" spans="1:16" ht="51">
      <c r="A1117" s="211"/>
      <c r="B1117" s="279"/>
      <c r="C1117" s="250" t="s">
        <v>942</v>
      </c>
      <c r="D1117" s="146"/>
      <c r="E1117" s="399"/>
      <c r="F1117" s="385"/>
      <c r="G1117" s="385"/>
    </row>
    <row r="1118" spans="1:16" ht="13.15">
      <c r="A1118" s="211"/>
      <c r="B1118" s="279"/>
      <c r="C1118" s="250"/>
      <c r="D1118" s="146"/>
      <c r="E1118" s="399"/>
      <c r="F1118" s="385"/>
      <c r="G1118" s="385"/>
    </row>
    <row r="1119" spans="1:16" ht="225.75" customHeight="1">
      <c r="A1119" s="111" t="s">
        <v>123</v>
      </c>
      <c r="B1119" s="112">
        <v>4</v>
      </c>
      <c r="C1119" s="280" t="s">
        <v>1933</v>
      </c>
      <c r="D1119" s="105"/>
      <c r="E1119" s="215"/>
      <c r="F1119" s="324"/>
      <c r="G1119" s="324"/>
    </row>
    <row r="1120" spans="1:16" s="26" customFormat="1" ht="13.15">
      <c r="A1120" s="117"/>
      <c r="B1120" s="105"/>
      <c r="C1120" s="32" t="s">
        <v>39</v>
      </c>
      <c r="D1120" s="112" t="s">
        <v>2</v>
      </c>
      <c r="E1120" s="324">
        <v>639.26</v>
      </c>
      <c r="F1120" s="397">
        <v>52</v>
      </c>
      <c r="G1120" s="386">
        <f t="shared" ref="G1120" si="75">E1120*F1120</f>
        <v>33241.519999999997</v>
      </c>
      <c r="I1120" s="204"/>
      <c r="J1120" s="204"/>
      <c r="K1120" s="204"/>
      <c r="L1120" s="204"/>
      <c r="M1120" s="204"/>
      <c r="N1120" s="204"/>
      <c r="O1120" s="204"/>
    </row>
    <row r="1121" spans="1:15" s="26" customFormat="1" ht="13.15">
      <c r="A1121" s="117"/>
      <c r="C1121" s="281"/>
      <c r="D1121" s="402"/>
      <c r="E1121" s="215"/>
      <c r="F1121" s="324"/>
      <c r="G1121" s="324"/>
      <c r="I1121" s="204"/>
      <c r="J1121" s="204"/>
      <c r="K1121" s="204"/>
      <c r="L1121" s="204"/>
      <c r="M1121" s="204"/>
      <c r="N1121" s="204"/>
      <c r="O1121" s="204"/>
    </row>
    <row r="1122" spans="1:15" s="26" customFormat="1" ht="38.25">
      <c r="A1122" s="117"/>
      <c r="C1122" s="282" t="s">
        <v>1934</v>
      </c>
      <c r="D1122" s="402"/>
      <c r="E1122" s="215"/>
      <c r="F1122" s="324"/>
      <c r="G1122" s="324"/>
      <c r="I1122" s="204"/>
      <c r="J1122" s="204"/>
      <c r="K1122" s="204"/>
      <c r="L1122" s="204"/>
      <c r="M1122" s="204"/>
      <c r="N1122" s="204"/>
      <c r="O1122" s="204"/>
    </row>
    <row r="1123" spans="1:15" s="26" customFormat="1" ht="13.15">
      <c r="A1123" s="117"/>
      <c r="C1123" s="283"/>
      <c r="D1123" s="105"/>
      <c r="E1123" s="215"/>
      <c r="F1123" s="324"/>
      <c r="G1123" s="324"/>
      <c r="I1123" s="204"/>
      <c r="J1123" s="204"/>
      <c r="K1123" s="204"/>
      <c r="L1123" s="204"/>
      <c r="M1123" s="204"/>
      <c r="N1123" s="204"/>
      <c r="O1123" s="204"/>
    </row>
    <row r="1124" spans="1:15" s="140" customFormat="1" ht="13.15">
      <c r="A1124" s="111"/>
      <c r="B1124" s="112"/>
      <c r="C1124" s="32" t="s">
        <v>36</v>
      </c>
      <c r="D1124" s="112"/>
      <c r="E1124" s="324"/>
      <c r="F1124" s="324"/>
      <c r="G1124" s="324"/>
    </row>
    <row r="1125" spans="1:15" s="140" customFormat="1" ht="13.15">
      <c r="A1125" s="111"/>
      <c r="B1125" s="112"/>
      <c r="C1125" s="32" t="s">
        <v>919</v>
      </c>
      <c r="D1125" s="112"/>
      <c r="E1125" s="324"/>
      <c r="F1125" s="324"/>
      <c r="G1125" s="324"/>
    </row>
    <row r="1126" spans="1:15" ht="102.75">
      <c r="A1126" s="111" t="s">
        <v>123</v>
      </c>
      <c r="B1126" s="139">
        <v>5</v>
      </c>
      <c r="C1126" s="130" t="s">
        <v>920</v>
      </c>
      <c r="D1126" s="146"/>
      <c r="E1126" s="399"/>
      <c r="F1126" s="385"/>
      <c r="G1126" s="385"/>
    </row>
    <row r="1127" spans="1:15" ht="127.5">
      <c r="A1127" s="211"/>
      <c r="B1127" s="146"/>
      <c r="C1127" s="156" t="s">
        <v>922</v>
      </c>
      <c r="D1127" s="147"/>
      <c r="E1127" s="251"/>
      <c r="F1127" s="206"/>
      <c r="G1127" s="206"/>
    </row>
    <row r="1128" spans="1:15" ht="102">
      <c r="A1128" s="211"/>
      <c r="B1128" s="146"/>
      <c r="C1128" s="156" t="s">
        <v>99</v>
      </c>
      <c r="D1128" s="146"/>
      <c r="E1128" s="399"/>
      <c r="F1128" s="385"/>
      <c r="G1128" s="385"/>
    </row>
    <row r="1129" spans="1:15" ht="56.25" customHeight="1">
      <c r="A1129" s="211"/>
      <c r="B1129" s="146"/>
      <c r="C1129" s="156" t="s">
        <v>921</v>
      </c>
      <c r="D1129" s="146"/>
      <c r="E1129" s="399"/>
      <c r="F1129" s="385"/>
      <c r="G1129" s="385"/>
    </row>
    <row r="1130" spans="1:15" ht="25.5">
      <c r="A1130" s="211"/>
      <c r="B1130" s="146"/>
      <c r="C1130" s="156" t="s">
        <v>1967</v>
      </c>
      <c r="D1130" s="139" t="s">
        <v>24</v>
      </c>
      <c r="E1130" s="385">
        <v>15</v>
      </c>
      <c r="F1130" s="423"/>
      <c r="G1130" s="354">
        <f t="shared" ref="G1130:G1138" si="76">E1130*F1130</f>
        <v>0</v>
      </c>
    </row>
    <row r="1131" spans="1:15" ht="13.15">
      <c r="A1131" s="211"/>
      <c r="B1131" s="146"/>
      <c r="C1131" s="156" t="s">
        <v>1968</v>
      </c>
      <c r="D1131" s="139" t="s">
        <v>24</v>
      </c>
      <c r="E1131" s="385">
        <v>3</v>
      </c>
      <c r="F1131" s="423"/>
      <c r="G1131" s="354">
        <f t="shared" si="76"/>
        <v>0</v>
      </c>
    </row>
    <row r="1132" spans="1:15" ht="13.15">
      <c r="A1132" s="211"/>
      <c r="B1132" s="146"/>
      <c r="C1132" s="156" t="s">
        <v>1969</v>
      </c>
      <c r="D1132" s="139" t="s">
        <v>24</v>
      </c>
      <c r="E1132" s="385">
        <v>3</v>
      </c>
      <c r="F1132" s="423"/>
      <c r="G1132" s="354">
        <f t="shared" si="76"/>
        <v>0</v>
      </c>
    </row>
    <row r="1133" spans="1:15" ht="13.15">
      <c r="A1133" s="211"/>
      <c r="B1133" s="146"/>
      <c r="C1133" s="156" t="s">
        <v>1970</v>
      </c>
      <c r="D1133" s="139" t="s">
        <v>24</v>
      </c>
      <c r="E1133" s="385">
        <v>1</v>
      </c>
      <c r="F1133" s="423"/>
      <c r="G1133" s="354">
        <f t="shared" si="76"/>
        <v>0</v>
      </c>
    </row>
    <row r="1134" spans="1:15" ht="13.15">
      <c r="A1134" s="211"/>
      <c r="B1134" s="146"/>
      <c r="C1134" s="156" t="s">
        <v>1971</v>
      </c>
      <c r="D1134" s="139" t="s">
        <v>24</v>
      </c>
      <c r="E1134" s="385">
        <v>1</v>
      </c>
      <c r="F1134" s="423"/>
      <c r="G1134" s="354">
        <f t="shared" si="76"/>
        <v>0</v>
      </c>
    </row>
    <row r="1135" spans="1:15" s="26" customFormat="1" ht="13.15">
      <c r="A1135" s="211"/>
      <c r="B1135" s="146"/>
      <c r="C1135" s="156" t="s">
        <v>1972</v>
      </c>
      <c r="D1135" s="139" t="s">
        <v>24</v>
      </c>
      <c r="E1135" s="385">
        <v>1</v>
      </c>
      <c r="F1135" s="423"/>
      <c r="G1135" s="354">
        <f t="shared" si="76"/>
        <v>0</v>
      </c>
    </row>
    <row r="1136" spans="1:15" ht="13.15">
      <c r="A1136" s="211"/>
      <c r="B1136" s="146"/>
      <c r="C1136" s="156" t="s">
        <v>1973</v>
      </c>
      <c r="D1136" s="139" t="s">
        <v>24</v>
      </c>
      <c r="E1136" s="385">
        <v>3</v>
      </c>
      <c r="F1136" s="423"/>
      <c r="G1136" s="354">
        <f t="shared" si="76"/>
        <v>0</v>
      </c>
      <c r="I1136" s="134"/>
      <c r="J1136" s="134"/>
      <c r="K1136" s="134"/>
      <c r="L1136" s="134"/>
      <c r="M1136" s="134"/>
      <c r="N1136" s="134"/>
      <c r="O1136" s="134"/>
    </row>
    <row r="1137" spans="1:15" ht="13.15">
      <c r="A1137" s="211"/>
      <c r="B1137" s="146"/>
      <c r="C1137" s="156" t="s">
        <v>1974</v>
      </c>
      <c r="D1137" s="139" t="s">
        <v>24</v>
      </c>
      <c r="E1137" s="385">
        <v>3</v>
      </c>
      <c r="F1137" s="423"/>
      <c r="G1137" s="354">
        <f t="shared" si="76"/>
        <v>0</v>
      </c>
      <c r="I1137" s="134"/>
      <c r="J1137" s="134"/>
      <c r="K1137" s="134"/>
      <c r="L1137" s="134"/>
      <c r="M1137" s="134"/>
      <c r="N1137" s="134"/>
      <c r="O1137" s="134"/>
    </row>
    <row r="1138" spans="1:15" ht="13.15">
      <c r="A1138" s="117"/>
      <c r="B1138" s="105"/>
      <c r="C1138" s="32" t="s">
        <v>1975</v>
      </c>
      <c r="D1138" s="112" t="s">
        <v>24</v>
      </c>
      <c r="E1138" s="324">
        <v>1</v>
      </c>
      <c r="F1138" s="403"/>
      <c r="G1138" s="354">
        <f t="shared" si="76"/>
        <v>0</v>
      </c>
    </row>
    <row r="1139" spans="1:15" ht="13.15">
      <c r="A1139" s="117"/>
      <c r="B1139" s="105"/>
      <c r="C1139" s="32" t="s">
        <v>1976</v>
      </c>
      <c r="D1139" s="112" t="s">
        <v>24</v>
      </c>
      <c r="E1139" s="324">
        <v>6</v>
      </c>
      <c r="F1139" s="403"/>
      <c r="G1139" s="354">
        <f>E1139*F1139</f>
        <v>0</v>
      </c>
    </row>
    <row r="1140" spans="1:15" ht="13.15">
      <c r="A1140" s="211"/>
      <c r="B1140" s="146"/>
      <c r="C1140" s="246"/>
      <c r="D1140" s="146"/>
      <c r="E1140" s="399"/>
      <c r="F1140" s="385"/>
      <c r="G1140" s="422"/>
    </row>
    <row r="1141" spans="1:15" ht="57" customHeight="1">
      <c r="A1141" s="211"/>
      <c r="B1141" s="146"/>
      <c r="C1141" s="208" t="s">
        <v>813</v>
      </c>
      <c r="D1141" s="146"/>
      <c r="E1141" s="399"/>
      <c r="F1141" s="385"/>
      <c r="G1141" s="422"/>
    </row>
    <row r="1142" spans="1:15" ht="12.75" customHeight="1">
      <c r="A1142" s="211"/>
      <c r="B1142" s="146"/>
      <c r="C1142" s="247"/>
      <c r="D1142" s="146"/>
      <c r="E1142" s="399"/>
      <c r="F1142" s="385"/>
      <c r="G1142" s="422"/>
    </row>
    <row r="1143" spans="1:15" ht="12.75" customHeight="1">
      <c r="A1143" s="207"/>
      <c r="B1143" s="139"/>
      <c r="C1143" s="156" t="s">
        <v>2104</v>
      </c>
      <c r="D1143" s="139"/>
      <c r="E1143" s="385"/>
      <c r="F1143" s="422"/>
      <c r="G1143" s="422"/>
    </row>
    <row r="1144" spans="1:15" ht="12.75" customHeight="1">
      <c r="A1144" s="111" t="s">
        <v>123</v>
      </c>
      <c r="B1144" s="112">
        <v>6</v>
      </c>
      <c r="C1144" s="137" t="s">
        <v>35</v>
      </c>
      <c r="D1144" s="112"/>
      <c r="E1144" s="324"/>
      <c r="F1144" s="300"/>
      <c r="G1144" s="300"/>
    </row>
    <row r="1145" spans="1:15" ht="12.75" customHeight="1">
      <c r="A1145" s="111"/>
      <c r="B1145" s="112"/>
      <c r="C1145" s="282" t="s">
        <v>83</v>
      </c>
      <c r="D1145" s="112" t="s">
        <v>2</v>
      </c>
      <c r="E1145" s="324">
        <v>40.39</v>
      </c>
      <c r="F1145" s="403"/>
      <c r="G1145" s="354">
        <f>E1145*F1145</f>
        <v>0</v>
      </c>
    </row>
    <row r="1146" spans="1:15" ht="12.75" customHeight="1">
      <c r="A1146" s="117"/>
      <c r="B1146" s="105"/>
      <c r="C1146" s="272"/>
      <c r="D1146" s="105"/>
      <c r="E1146" s="215"/>
      <c r="F1146" s="300"/>
      <c r="G1146" s="300"/>
    </row>
    <row r="1147" spans="1:15" ht="51">
      <c r="A1147" s="111" t="s">
        <v>123</v>
      </c>
      <c r="B1147" s="139">
        <v>7</v>
      </c>
      <c r="C1147" s="137" t="s">
        <v>113</v>
      </c>
      <c r="D1147" s="139"/>
      <c r="E1147" s="385"/>
      <c r="F1147" s="422"/>
      <c r="G1147" s="422"/>
    </row>
    <row r="1148" spans="1:15" ht="13.15">
      <c r="A1148" s="207"/>
      <c r="B1148" s="139"/>
      <c r="C1148" s="156" t="s">
        <v>1977</v>
      </c>
      <c r="D1148" s="139" t="s">
        <v>23</v>
      </c>
      <c r="E1148" s="385">
        <v>12.22</v>
      </c>
      <c r="F1148" s="423"/>
      <c r="G1148" s="354">
        <f>E1148*F1148</f>
        <v>0</v>
      </c>
    </row>
    <row r="1149" spans="1:15" s="26" customFormat="1" ht="13.15">
      <c r="A1149" s="211"/>
      <c r="B1149" s="146"/>
      <c r="C1149" s="156" t="s">
        <v>1978</v>
      </c>
      <c r="D1149" s="139" t="s">
        <v>23</v>
      </c>
      <c r="E1149" s="385">
        <v>6.84</v>
      </c>
      <c r="F1149" s="423"/>
      <c r="G1149" s="354">
        <f>E1149*F1149</f>
        <v>0</v>
      </c>
    </row>
    <row r="1150" spans="1:15" s="26" customFormat="1" ht="13.15">
      <c r="A1150" s="211"/>
      <c r="B1150" s="146"/>
      <c r="C1150" s="156" t="s">
        <v>1979</v>
      </c>
      <c r="D1150" s="139" t="s">
        <v>23</v>
      </c>
      <c r="E1150" s="385">
        <v>10.8</v>
      </c>
      <c r="F1150" s="423"/>
      <c r="G1150" s="354">
        <f>E1150*F1150</f>
        <v>0</v>
      </c>
    </row>
    <row r="1151" spans="1:15" s="26" customFormat="1" ht="13.15">
      <c r="A1151" s="211"/>
      <c r="B1151" s="146"/>
      <c r="C1151" s="156" t="s">
        <v>1980</v>
      </c>
      <c r="D1151" s="139" t="s">
        <v>23</v>
      </c>
      <c r="E1151" s="385">
        <v>2.4</v>
      </c>
      <c r="F1151" s="423"/>
      <c r="G1151" s="354">
        <f>E1151*F1151</f>
        <v>0</v>
      </c>
    </row>
    <row r="1152" spans="1:15" s="26" customFormat="1" ht="13.15" hidden="1">
      <c r="A1152" s="211"/>
      <c r="B1152" s="144"/>
      <c r="C1152" s="272"/>
      <c r="D1152" s="413"/>
      <c r="E1152" s="445"/>
      <c r="F1152" s="422"/>
      <c r="G1152" s="422"/>
    </row>
    <row r="1153" spans="1:7" s="26" customFormat="1" ht="63.75" hidden="1">
      <c r="A1153" s="117" t="s">
        <v>123</v>
      </c>
      <c r="B1153" s="146">
        <v>21</v>
      </c>
      <c r="C1153" s="134" t="s">
        <v>38</v>
      </c>
      <c r="D1153" s="413"/>
      <c r="E1153" s="445"/>
      <c r="F1153" s="422"/>
      <c r="G1153" s="422"/>
    </row>
    <row r="1154" spans="1:7" s="26" customFormat="1" ht="13.15" hidden="1">
      <c r="A1154" s="117"/>
      <c r="B1154" s="105"/>
      <c r="C1154" s="144" t="s">
        <v>37</v>
      </c>
      <c r="D1154" s="413" t="s">
        <v>24</v>
      </c>
      <c r="E1154" s="445">
        <v>5</v>
      </c>
      <c r="F1154" s="300"/>
      <c r="G1154" s="300"/>
    </row>
    <row r="1155" spans="1:7" s="26" customFormat="1" ht="13.15" hidden="1">
      <c r="A1155" s="211"/>
      <c r="B1155" s="105"/>
      <c r="C1155" s="284"/>
      <c r="D1155" s="402"/>
      <c r="E1155" s="447"/>
      <c r="F1155" s="300"/>
      <c r="G1155" s="300"/>
    </row>
    <row r="1156" spans="1:7" s="26" customFormat="1" ht="13.15" hidden="1">
      <c r="A1156" s="117"/>
      <c r="B1156" s="105"/>
      <c r="C1156" s="204"/>
      <c r="D1156" s="105"/>
      <c r="E1156" s="215"/>
      <c r="F1156" s="300"/>
      <c r="G1156" s="300"/>
    </row>
    <row r="1157" spans="1:7" s="26" customFormat="1" ht="25.5" hidden="1">
      <c r="A1157" s="117" t="s">
        <v>123</v>
      </c>
      <c r="B1157" s="105"/>
      <c r="C1157" s="285" t="s">
        <v>105</v>
      </c>
      <c r="D1157" s="449"/>
      <c r="E1157" s="450"/>
      <c r="F1157" s="404"/>
      <c r="G1157" s="404"/>
    </row>
    <row r="1158" spans="1:7" s="26" customFormat="1" ht="13.15" hidden="1">
      <c r="A1158" s="117"/>
      <c r="B1158" s="105"/>
      <c r="C1158" s="204"/>
      <c r="D1158" s="105"/>
      <c r="E1158" s="215"/>
      <c r="F1158" s="300"/>
      <c r="G1158" s="300"/>
    </row>
    <row r="1159" spans="1:7" s="26" customFormat="1" ht="13.15" hidden="1">
      <c r="A1159" s="117"/>
      <c r="B1159" s="105"/>
      <c r="C1159" s="204"/>
      <c r="D1159" s="105"/>
      <c r="E1159" s="215"/>
      <c r="F1159" s="300"/>
      <c r="G1159" s="300"/>
    </row>
    <row r="1160" spans="1:7" s="26" customFormat="1" ht="13.15" hidden="1">
      <c r="A1160" s="117"/>
      <c r="B1160" s="105"/>
      <c r="C1160" s="204"/>
      <c r="D1160" s="105"/>
      <c r="E1160" s="215"/>
      <c r="F1160" s="300"/>
      <c r="G1160" s="300"/>
    </row>
    <row r="1161" spans="1:7" s="26" customFormat="1" ht="13.15" hidden="1">
      <c r="A1161" s="117"/>
      <c r="B1161" s="105"/>
      <c r="C1161" s="204"/>
      <c r="D1161" s="105"/>
      <c r="E1161" s="215"/>
      <c r="F1161" s="300"/>
      <c r="G1161" s="300"/>
    </row>
    <row r="1162" spans="1:7" s="26" customFormat="1" ht="13.15" hidden="1">
      <c r="A1162" s="117"/>
      <c r="B1162" s="105"/>
      <c r="C1162" s="204"/>
      <c r="D1162" s="105"/>
      <c r="E1162" s="215"/>
      <c r="F1162" s="300"/>
      <c r="G1162" s="300"/>
    </row>
    <row r="1163" spans="1:7" s="26" customFormat="1" ht="13.15" hidden="1">
      <c r="A1163" s="117"/>
      <c r="B1163" s="105"/>
      <c r="C1163" s="204"/>
      <c r="D1163" s="105"/>
      <c r="E1163" s="215"/>
      <c r="F1163" s="300"/>
      <c r="G1163" s="300"/>
    </row>
    <row r="1164" spans="1:7" s="26" customFormat="1" ht="13.15" hidden="1">
      <c r="A1164" s="117"/>
      <c r="B1164" s="105"/>
      <c r="C1164" s="204"/>
      <c r="D1164" s="105"/>
      <c r="E1164" s="215"/>
      <c r="F1164" s="300"/>
      <c r="G1164" s="300"/>
    </row>
    <row r="1165" spans="1:7" s="26" customFormat="1" ht="13.15" hidden="1">
      <c r="A1165" s="117"/>
      <c r="B1165" s="105"/>
      <c r="C1165" s="204"/>
      <c r="D1165" s="105"/>
      <c r="E1165" s="215"/>
      <c r="F1165" s="300"/>
      <c r="G1165" s="300"/>
    </row>
    <row r="1166" spans="1:7" s="26" customFormat="1" ht="13.15" hidden="1">
      <c r="A1166" s="117"/>
      <c r="B1166" s="105"/>
      <c r="C1166" s="204"/>
      <c r="D1166" s="105"/>
      <c r="E1166" s="215"/>
      <c r="F1166" s="300"/>
      <c r="G1166" s="300"/>
    </row>
    <row r="1167" spans="1:7" s="26" customFormat="1" ht="13.15" hidden="1">
      <c r="A1167" s="117"/>
      <c r="B1167" s="105"/>
      <c r="C1167" s="204"/>
      <c r="D1167" s="105"/>
      <c r="E1167" s="215"/>
      <c r="F1167" s="300"/>
      <c r="G1167" s="300"/>
    </row>
    <row r="1168" spans="1:7" s="26" customFormat="1" ht="13.15" hidden="1">
      <c r="A1168" s="117"/>
      <c r="B1168" s="105"/>
      <c r="C1168" s="204"/>
      <c r="D1168" s="105"/>
      <c r="E1168" s="215"/>
      <c r="F1168" s="300"/>
      <c r="G1168" s="300"/>
    </row>
    <row r="1169" spans="1:7" s="26" customFormat="1" ht="13.15">
      <c r="A1169" s="117"/>
      <c r="B1169" s="105"/>
      <c r="C1169" s="204"/>
      <c r="D1169" s="105"/>
      <c r="E1169" s="215"/>
      <c r="F1169" s="300"/>
      <c r="G1169" s="300"/>
    </row>
    <row r="1170" spans="1:7" s="26" customFormat="1" ht="13.15">
      <c r="A1170" s="117"/>
      <c r="B1170" s="105"/>
      <c r="C1170" s="156" t="s">
        <v>55</v>
      </c>
      <c r="D1170" s="50"/>
      <c r="E1170" s="44"/>
      <c r="F1170" s="29"/>
      <c r="G1170" s="29"/>
    </row>
    <row r="1171" spans="1:7" s="129" customFormat="1" ht="388.5" customHeight="1">
      <c r="A1171" s="214" t="s">
        <v>123</v>
      </c>
      <c r="B1171" s="127">
        <v>8</v>
      </c>
      <c r="C1171" s="136" t="s">
        <v>1048</v>
      </c>
      <c r="D1171" s="127"/>
      <c r="E1171" s="451"/>
      <c r="F1171" s="422"/>
      <c r="G1171" s="422"/>
    </row>
    <row r="1172" spans="1:7" s="129" customFormat="1" ht="13.15">
      <c r="A1172" s="214"/>
      <c r="B1172" s="127"/>
      <c r="C1172" s="130" t="s">
        <v>1981</v>
      </c>
      <c r="D1172" s="112" t="s">
        <v>2</v>
      </c>
      <c r="E1172" s="324">
        <v>405.51</v>
      </c>
      <c r="F1172" s="423"/>
      <c r="G1172" s="354">
        <f>E1172*F1172</f>
        <v>0</v>
      </c>
    </row>
    <row r="1173" spans="1:7" s="129" customFormat="1" ht="13.15">
      <c r="A1173" s="214"/>
      <c r="B1173" s="127"/>
      <c r="C1173" s="130" t="s">
        <v>1982</v>
      </c>
      <c r="D1173" s="112" t="s">
        <v>2</v>
      </c>
      <c r="E1173" s="324">
        <v>37.49</v>
      </c>
      <c r="F1173" s="423"/>
      <c r="G1173" s="354">
        <f>E1173*F1173</f>
        <v>0</v>
      </c>
    </row>
    <row r="1174" spans="1:7" s="129" customFormat="1" ht="13.15">
      <c r="A1174" s="214"/>
      <c r="B1174" s="127"/>
      <c r="C1174" s="130" t="s">
        <v>1983</v>
      </c>
      <c r="D1174" s="112" t="s">
        <v>2</v>
      </c>
      <c r="E1174" s="324">
        <v>14.06</v>
      </c>
      <c r="F1174" s="423"/>
      <c r="G1174" s="354">
        <f>E1174*F1174</f>
        <v>0</v>
      </c>
    </row>
    <row r="1175" spans="1:7" s="129" customFormat="1" ht="13.15">
      <c r="A1175" s="214"/>
      <c r="B1175" s="127"/>
      <c r="C1175" s="130" t="s">
        <v>1984</v>
      </c>
      <c r="D1175" s="112" t="s">
        <v>2</v>
      </c>
      <c r="E1175" s="324">
        <v>7.38</v>
      </c>
      <c r="F1175" s="423"/>
      <c r="G1175" s="354">
        <f>E1175*F1175</f>
        <v>0</v>
      </c>
    </row>
    <row r="1176" spans="1:7" s="26" customFormat="1" ht="13.15">
      <c r="A1176" s="117"/>
      <c r="B1176" s="105"/>
      <c r="C1176" s="204"/>
      <c r="D1176" s="50"/>
      <c r="E1176" s="44"/>
      <c r="F1176" s="29"/>
      <c r="G1176" s="29"/>
    </row>
    <row r="1177" spans="1:7" s="129" customFormat="1" ht="90">
      <c r="A1177" s="214" t="s">
        <v>123</v>
      </c>
      <c r="B1177" s="127">
        <v>9</v>
      </c>
      <c r="C1177" s="136" t="s">
        <v>1168</v>
      </c>
      <c r="D1177" s="36" t="s">
        <v>2</v>
      </c>
      <c r="E1177" s="110">
        <v>94.25</v>
      </c>
      <c r="F1177" s="351"/>
      <c r="G1177" s="356">
        <f>E1177*F1177</f>
        <v>0</v>
      </c>
    </row>
    <row r="1178" spans="1:7" s="26" customFormat="1" ht="13.15">
      <c r="A1178" s="117"/>
      <c r="B1178" s="105"/>
      <c r="C1178" s="204"/>
      <c r="D1178" s="50"/>
      <c r="E1178" s="44"/>
      <c r="F1178" s="29"/>
      <c r="G1178" s="29"/>
    </row>
    <row r="1179" spans="1:7" s="26" customFormat="1" ht="51.75">
      <c r="A1179" s="214" t="s">
        <v>123</v>
      </c>
      <c r="B1179" s="127">
        <v>10</v>
      </c>
      <c r="C1179" s="212" t="s">
        <v>1050</v>
      </c>
      <c r="D1179" s="105"/>
      <c r="E1179" s="215"/>
      <c r="F1179" s="300"/>
      <c r="G1179" s="300"/>
    </row>
    <row r="1180" spans="1:7" s="26" customFormat="1" ht="13.15">
      <c r="A1180" s="117"/>
      <c r="B1180" s="105"/>
      <c r="C1180" s="130" t="s">
        <v>2091</v>
      </c>
      <c r="D1180" s="112" t="s">
        <v>24</v>
      </c>
      <c r="E1180" s="324">
        <v>4</v>
      </c>
      <c r="F1180" s="403"/>
      <c r="G1180" s="354">
        <f>E1180*F1180</f>
        <v>0</v>
      </c>
    </row>
    <row r="1181" spans="1:7" s="26" customFormat="1" ht="13.15">
      <c r="A1181" s="117"/>
      <c r="B1181" s="105"/>
      <c r="C1181" s="130" t="s">
        <v>2092</v>
      </c>
      <c r="D1181" s="112" t="s">
        <v>24</v>
      </c>
      <c r="E1181" s="324">
        <v>1</v>
      </c>
      <c r="F1181" s="403"/>
      <c r="G1181" s="354">
        <f>E1181*F1181</f>
        <v>0</v>
      </c>
    </row>
    <row r="1182" spans="1:7" s="26" customFormat="1" ht="13.15">
      <c r="A1182" s="117"/>
      <c r="B1182" s="105"/>
      <c r="C1182" s="130" t="s">
        <v>2093</v>
      </c>
      <c r="D1182" s="112" t="s">
        <v>24</v>
      </c>
      <c r="E1182" s="324">
        <v>7</v>
      </c>
      <c r="F1182" s="403"/>
      <c r="G1182" s="354">
        <f>E1182*F1182</f>
        <v>0</v>
      </c>
    </row>
    <row r="1183" spans="1:7" s="26" customFormat="1" ht="13.15">
      <c r="A1183" s="117"/>
      <c r="B1183" s="105"/>
      <c r="C1183" s="286"/>
      <c r="D1183" s="112"/>
      <c r="E1183" s="324"/>
      <c r="F1183" s="300"/>
      <c r="G1183" s="300"/>
    </row>
    <row r="1184" spans="1:7" s="26" customFormat="1" ht="217.15">
      <c r="A1184" s="214" t="s">
        <v>123</v>
      </c>
      <c r="B1184" s="127">
        <v>11</v>
      </c>
      <c r="C1184" s="130" t="s">
        <v>1053</v>
      </c>
      <c r="D1184" s="36" t="s">
        <v>2</v>
      </c>
      <c r="E1184" s="110">
        <v>2703.49</v>
      </c>
      <c r="F1184" s="352"/>
      <c r="G1184" s="356">
        <f>E1184*F1184</f>
        <v>0</v>
      </c>
    </row>
    <row r="1185" spans="1:7" s="26" customFormat="1" ht="13.15">
      <c r="A1185" s="117"/>
      <c r="B1185" s="105"/>
      <c r="C1185" s="130"/>
      <c r="D1185" s="36"/>
      <c r="E1185" s="110"/>
      <c r="F1185" s="29"/>
      <c r="G1185" s="29"/>
    </row>
    <row r="1186" spans="1:7" s="26" customFormat="1" ht="115.15">
      <c r="A1186" s="214" t="s">
        <v>123</v>
      </c>
      <c r="B1186" s="127">
        <v>12</v>
      </c>
      <c r="C1186" s="130" t="s">
        <v>1051</v>
      </c>
      <c r="D1186" s="36" t="s">
        <v>2</v>
      </c>
      <c r="E1186" s="110">
        <v>1586.48</v>
      </c>
      <c r="F1186" s="352"/>
      <c r="G1186" s="356">
        <f>E1186*F1186</f>
        <v>0</v>
      </c>
    </row>
    <row r="1187" spans="1:7" s="26" customFormat="1" ht="13.15">
      <c r="A1187" s="214"/>
      <c r="B1187" s="127"/>
      <c r="C1187" s="130"/>
      <c r="D1187" s="36"/>
      <c r="E1187" s="110"/>
      <c r="F1187" s="29"/>
      <c r="G1187" s="29"/>
    </row>
    <row r="1188" spans="1:7" s="26" customFormat="1" ht="51.4">
      <c r="A1188" s="214" t="s">
        <v>123</v>
      </c>
      <c r="B1188" s="127">
        <v>13</v>
      </c>
      <c r="C1188" s="130" t="s">
        <v>1052</v>
      </c>
      <c r="D1188" s="36" t="s">
        <v>2</v>
      </c>
      <c r="E1188" s="110">
        <v>2703.49</v>
      </c>
      <c r="F1188" s="352"/>
      <c r="G1188" s="356">
        <f>E1188*F1188</f>
        <v>0</v>
      </c>
    </row>
    <row r="1189" spans="1:7" s="26" customFormat="1" ht="13.15">
      <c r="A1189" s="214"/>
      <c r="B1189" s="127"/>
      <c r="C1189" s="130"/>
      <c r="D1189" s="36"/>
      <c r="E1189" s="110"/>
      <c r="F1189" s="29"/>
      <c r="G1189" s="29"/>
    </row>
    <row r="1190" spans="1:7" s="26" customFormat="1" ht="51.4">
      <c r="A1190" s="214" t="s">
        <v>123</v>
      </c>
      <c r="B1190" s="127">
        <v>14</v>
      </c>
      <c r="C1190" s="130" t="s">
        <v>1054</v>
      </c>
      <c r="D1190" s="36" t="s">
        <v>2</v>
      </c>
      <c r="E1190" s="110">
        <v>1586.48</v>
      </c>
      <c r="F1190" s="352"/>
      <c r="G1190" s="356">
        <f>E1190*F1190</f>
        <v>0</v>
      </c>
    </row>
    <row r="1191" spans="1:7" s="26" customFormat="1" ht="13.15">
      <c r="A1191" s="214"/>
      <c r="B1191" s="127"/>
      <c r="C1191" s="130"/>
      <c r="D1191" s="36"/>
      <c r="E1191" s="110"/>
      <c r="F1191" s="29"/>
      <c r="G1191" s="29"/>
    </row>
    <row r="1192" spans="1:7" s="26" customFormat="1" ht="77.25">
      <c r="A1192" s="214" t="s">
        <v>123</v>
      </c>
      <c r="B1192" s="127">
        <v>15</v>
      </c>
      <c r="C1192" s="130" t="s">
        <v>1055</v>
      </c>
      <c r="D1192" s="36" t="s">
        <v>2</v>
      </c>
      <c r="E1192" s="110">
        <v>1102.3499999999999</v>
      </c>
      <c r="F1192" s="352"/>
      <c r="G1192" s="356">
        <f>E1192*F1192</f>
        <v>0</v>
      </c>
    </row>
    <row r="1193" spans="1:7" s="26" customFormat="1" ht="13.15">
      <c r="A1193" s="214"/>
      <c r="B1193" s="127"/>
      <c r="C1193" s="130"/>
      <c r="D1193" s="36"/>
      <c r="E1193" s="110"/>
      <c r="F1193" s="29"/>
      <c r="G1193" s="29"/>
    </row>
    <row r="1194" spans="1:7" s="26" customFormat="1" ht="115.15">
      <c r="A1194" s="214" t="s">
        <v>123</v>
      </c>
      <c r="B1194" s="127">
        <v>16</v>
      </c>
      <c r="C1194" s="130" t="s">
        <v>1056</v>
      </c>
      <c r="D1194" s="36" t="s">
        <v>23</v>
      </c>
      <c r="E1194" s="110">
        <v>39.200000000000003</v>
      </c>
      <c r="F1194" s="352"/>
      <c r="G1194" s="356">
        <f>E1194*F1194</f>
        <v>0</v>
      </c>
    </row>
    <row r="1195" spans="1:7" s="26" customFormat="1" ht="13.15">
      <c r="A1195" s="214"/>
      <c r="B1195" s="127"/>
      <c r="C1195" s="130"/>
      <c r="D1195" s="36"/>
      <c r="E1195" s="110"/>
      <c r="F1195" s="29"/>
      <c r="G1195" s="29"/>
    </row>
    <row r="1196" spans="1:7" s="26" customFormat="1" ht="76.900000000000006">
      <c r="A1196" s="214" t="s">
        <v>123</v>
      </c>
      <c r="B1196" s="127" t="s">
        <v>139</v>
      </c>
      <c r="C1196" s="130" t="s">
        <v>1057</v>
      </c>
      <c r="D1196" s="36" t="s">
        <v>1016</v>
      </c>
      <c r="E1196" s="110">
        <v>1</v>
      </c>
      <c r="F1196" s="352"/>
      <c r="G1196" s="356">
        <f>E1196*F1196</f>
        <v>0</v>
      </c>
    </row>
    <row r="1197" spans="1:7" s="26" customFormat="1" ht="13.15">
      <c r="A1197" s="214"/>
      <c r="B1197" s="127"/>
      <c r="C1197" s="130"/>
      <c r="D1197" s="36"/>
      <c r="E1197" s="110"/>
      <c r="F1197" s="29"/>
      <c r="G1197" s="29"/>
    </row>
    <row r="1198" spans="1:7" s="26" customFormat="1" ht="13.15">
      <c r="A1198" s="117"/>
      <c r="B1198" s="105"/>
      <c r="C1198" s="204"/>
      <c r="D1198" s="50"/>
      <c r="E1198" s="44"/>
      <c r="F1198" s="29"/>
      <c r="G1198" s="29"/>
    </row>
    <row r="1199" spans="1:7" s="140" customFormat="1" ht="13.15">
      <c r="A1199" s="207" t="s">
        <v>123</v>
      </c>
      <c r="B1199" s="252"/>
      <c r="C1199" s="217" t="s">
        <v>1021</v>
      </c>
      <c r="D1199" s="255"/>
      <c r="E1199" s="219"/>
      <c r="F1199" s="219"/>
      <c r="G1199" s="219">
        <f>SUM(G1093:G1196)</f>
        <v>37714.519999999997</v>
      </c>
    </row>
    <row r="1200" spans="1:7" s="140" customFormat="1" ht="13.15">
      <c r="A1200" s="207"/>
      <c r="B1200" s="252"/>
      <c r="C1200" s="273"/>
      <c r="D1200" s="36"/>
      <c r="E1200" s="29"/>
      <c r="F1200" s="29"/>
      <c r="G1200" s="29"/>
    </row>
    <row r="1201" spans="1:7" ht="13.15">
      <c r="A1201" s="117"/>
      <c r="B1201" s="105"/>
      <c r="C1201" s="204"/>
      <c r="D1201" s="50"/>
      <c r="E1201" s="44"/>
      <c r="F1201" s="29"/>
      <c r="G1201" s="29"/>
    </row>
    <row r="1202" spans="1:7" s="140" customFormat="1" ht="13.15">
      <c r="A1202" s="207" t="s">
        <v>124</v>
      </c>
      <c r="C1202" s="954" t="s">
        <v>588</v>
      </c>
      <c r="D1202" s="954"/>
      <c r="E1202" s="954"/>
      <c r="F1202" s="954"/>
      <c r="G1202" s="954"/>
    </row>
    <row r="1203" spans="1:7" s="140" customFormat="1" ht="13.15">
      <c r="A1203" s="138"/>
      <c r="B1203" s="151"/>
      <c r="C1203" s="913" t="s">
        <v>392</v>
      </c>
      <c r="D1203" s="913"/>
      <c r="E1203" s="913"/>
      <c r="F1203" s="913"/>
      <c r="G1203" s="913"/>
    </row>
    <row r="1204" spans="1:7" s="140" customFormat="1" ht="48" customHeight="1">
      <c r="A1204" s="138"/>
      <c r="B1204" s="151"/>
      <c r="C1204" s="913" t="s">
        <v>589</v>
      </c>
      <c r="D1204" s="913"/>
      <c r="E1204" s="913"/>
      <c r="F1204" s="913"/>
      <c r="G1204" s="913"/>
    </row>
    <row r="1205" spans="1:7" s="140" customFormat="1" ht="13.15">
      <c r="A1205" s="138"/>
      <c r="B1205" s="139"/>
      <c r="C1205" s="954"/>
      <c r="D1205" s="954"/>
      <c r="E1205" s="954"/>
      <c r="F1205" s="954"/>
      <c r="G1205" s="954"/>
    </row>
    <row r="1206" spans="1:7" s="140" customFormat="1" ht="144" customHeight="1">
      <c r="A1206" s="138"/>
      <c r="B1206" s="151"/>
      <c r="C1206" s="914" t="s">
        <v>590</v>
      </c>
      <c r="D1206" s="914"/>
      <c r="E1206" s="914"/>
      <c r="F1206" s="914"/>
      <c r="G1206" s="914"/>
    </row>
    <row r="1207" spans="1:7" s="140" customFormat="1" ht="13.15">
      <c r="A1207" s="138"/>
      <c r="B1207" s="139"/>
      <c r="C1207" s="954"/>
      <c r="D1207" s="954"/>
      <c r="E1207" s="954"/>
      <c r="F1207" s="954"/>
      <c r="G1207" s="954"/>
    </row>
    <row r="1208" spans="1:7" s="140" customFormat="1" ht="93.75" customHeight="1">
      <c r="A1208" s="138"/>
      <c r="B1208" s="139"/>
      <c r="C1208" s="914" t="s">
        <v>591</v>
      </c>
      <c r="D1208" s="914"/>
      <c r="E1208" s="914"/>
      <c r="F1208" s="914"/>
      <c r="G1208" s="914"/>
    </row>
    <row r="1209" spans="1:7" s="140" customFormat="1" ht="13.15">
      <c r="A1209" s="138"/>
      <c r="B1209" s="139"/>
      <c r="C1209" s="954"/>
      <c r="D1209" s="954"/>
      <c r="E1209" s="954"/>
      <c r="F1209" s="954"/>
      <c r="G1209" s="954"/>
    </row>
    <row r="1210" spans="1:7" s="140" customFormat="1" ht="92.25" customHeight="1">
      <c r="A1210" s="138"/>
      <c r="B1210" s="139"/>
      <c r="C1210" s="914" t="s">
        <v>592</v>
      </c>
      <c r="D1210" s="914"/>
      <c r="E1210" s="914"/>
      <c r="F1210" s="914"/>
      <c r="G1210" s="914"/>
    </row>
    <row r="1211" spans="1:7" s="140" customFormat="1" ht="12.75" customHeight="1">
      <c r="A1211" s="138"/>
      <c r="B1211" s="139"/>
      <c r="C1211" s="910" t="s">
        <v>394</v>
      </c>
      <c r="D1211" s="910"/>
      <c r="E1211" s="910"/>
      <c r="F1211" s="910"/>
      <c r="G1211" s="910"/>
    </row>
    <row r="1212" spans="1:7" s="140" customFormat="1" ht="282.75" customHeight="1">
      <c r="A1212" s="138"/>
      <c r="B1212" s="139"/>
      <c r="C1212" s="914" t="s">
        <v>593</v>
      </c>
      <c r="D1212" s="914"/>
      <c r="E1212" s="914"/>
      <c r="F1212" s="914"/>
      <c r="G1212" s="914"/>
    </row>
    <row r="1213" spans="1:7" s="140" customFormat="1" ht="13.15">
      <c r="A1213" s="138"/>
      <c r="B1213" s="139"/>
      <c r="C1213" s="954"/>
      <c r="D1213" s="954"/>
      <c r="E1213" s="954"/>
      <c r="F1213" s="954"/>
      <c r="G1213" s="954"/>
    </row>
    <row r="1214" spans="1:7" s="140" customFormat="1" ht="96.75" customHeight="1">
      <c r="A1214" s="138"/>
      <c r="B1214" s="139"/>
      <c r="C1214" s="914" t="s">
        <v>814</v>
      </c>
      <c r="D1214" s="914"/>
      <c r="E1214" s="914"/>
      <c r="F1214" s="914"/>
      <c r="G1214" s="914"/>
    </row>
    <row r="1215" spans="1:7" s="140" customFormat="1" ht="111" customHeight="1">
      <c r="A1215" s="138"/>
      <c r="B1215" s="139"/>
      <c r="C1215" s="914" t="s">
        <v>594</v>
      </c>
      <c r="D1215" s="914"/>
      <c r="E1215" s="914"/>
      <c r="F1215" s="914"/>
      <c r="G1215" s="914"/>
    </row>
    <row r="1216" spans="1:7" s="140" customFormat="1" ht="13.15">
      <c r="A1216" s="138"/>
      <c r="B1216" s="139"/>
      <c r="C1216" s="954"/>
      <c r="D1216" s="954"/>
      <c r="E1216" s="954"/>
      <c r="F1216" s="954"/>
      <c r="G1216" s="954"/>
    </row>
    <row r="1217" spans="1:7" s="140" customFormat="1">
      <c r="A1217" s="138"/>
      <c r="B1217" s="139"/>
      <c r="C1217" s="914" t="s">
        <v>815</v>
      </c>
      <c r="D1217" s="914"/>
      <c r="E1217" s="914"/>
      <c r="F1217" s="914"/>
      <c r="G1217" s="914"/>
    </row>
    <row r="1218" spans="1:7" s="140" customFormat="1" ht="21.75" customHeight="1">
      <c r="A1218" s="138"/>
      <c r="B1218" s="139"/>
      <c r="C1218" s="137" t="s">
        <v>595</v>
      </c>
      <c r="D1218" s="137"/>
      <c r="E1218" s="287"/>
      <c r="F1218" s="137"/>
      <c r="G1218" s="137"/>
    </row>
    <row r="1219" spans="1:7" s="140" customFormat="1" ht="159.75" customHeight="1">
      <c r="A1219" s="138"/>
      <c r="B1219" s="139"/>
      <c r="C1219" s="914" t="s">
        <v>596</v>
      </c>
      <c r="D1219" s="914"/>
      <c r="E1219" s="914"/>
      <c r="F1219" s="914"/>
      <c r="G1219" s="914"/>
    </row>
    <row r="1220" spans="1:7" s="140" customFormat="1" ht="13.15">
      <c r="A1220" s="138"/>
      <c r="B1220" s="139"/>
      <c r="C1220" s="954"/>
      <c r="D1220" s="954"/>
      <c r="E1220" s="954"/>
      <c r="F1220" s="954"/>
      <c r="G1220" s="954"/>
    </row>
    <row r="1221" spans="1:7" s="140" customFormat="1">
      <c r="A1221" s="138"/>
      <c r="B1221" s="139"/>
      <c r="C1221" s="910" t="s">
        <v>597</v>
      </c>
      <c r="D1221" s="910"/>
      <c r="E1221" s="910"/>
      <c r="F1221" s="910"/>
      <c r="G1221" s="910"/>
    </row>
    <row r="1222" spans="1:7" s="140" customFormat="1">
      <c r="A1222" s="138"/>
      <c r="B1222" s="139"/>
      <c r="C1222" s="910" t="s">
        <v>598</v>
      </c>
      <c r="D1222" s="910"/>
      <c r="E1222" s="910"/>
      <c r="F1222" s="910"/>
      <c r="G1222" s="910"/>
    </row>
    <row r="1223" spans="1:7" s="140" customFormat="1">
      <c r="A1223" s="138"/>
      <c r="B1223" s="139"/>
      <c r="C1223" s="910" t="s">
        <v>599</v>
      </c>
      <c r="D1223" s="910"/>
      <c r="E1223" s="910"/>
      <c r="F1223" s="910"/>
      <c r="G1223" s="910"/>
    </row>
    <row r="1224" spans="1:7" s="140" customFormat="1" ht="13.5" customHeight="1">
      <c r="A1224" s="138"/>
      <c r="B1224" s="139"/>
      <c r="C1224" s="910" t="s">
        <v>600</v>
      </c>
      <c r="D1224" s="910"/>
      <c r="E1224" s="910"/>
      <c r="F1224" s="910"/>
      <c r="G1224" s="910"/>
    </row>
    <row r="1225" spans="1:7" s="140" customFormat="1">
      <c r="A1225" s="138"/>
      <c r="B1225" s="139"/>
      <c r="C1225" s="910" t="s">
        <v>601</v>
      </c>
      <c r="D1225" s="910"/>
      <c r="E1225" s="910"/>
      <c r="F1225" s="910"/>
      <c r="G1225" s="910"/>
    </row>
    <row r="1226" spans="1:7" s="140" customFormat="1">
      <c r="A1226" s="138"/>
      <c r="B1226" s="139"/>
      <c r="C1226" s="910" t="s">
        <v>602</v>
      </c>
      <c r="D1226" s="910"/>
      <c r="E1226" s="910"/>
      <c r="F1226" s="910"/>
      <c r="G1226" s="910"/>
    </row>
    <row r="1227" spans="1:7" s="140" customFormat="1">
      <c r="A1227" s="138"/>
      <c r="B1227" s="139"/>
      <c r="C1227" s="910" t="s">
        <v>603</v>
      </c>
      <c r="D1227" s="910"/>
      <c r="E1227" s="910"/>
      <c r="F1227" s="910"/>
      <c r="G1227" s="910"/>
    </row>
    <row r="1228" spans="1:7" ht="13.15">
      <c r="B1228" s="146"/>
      <c r="C1228" s="953"/>
      <c r="D1228" s="953"/>
      <c r="E1228" s="953"/>
      <c r="F1228" s="953"/>
      <c r="G1228" s="953"/>
    </row>
    <row r="1229" spans="1:7" ht="13.15">
      <c r="A1229" s="211"/>
      <c r="B1229" s="257"/>
      <c r="C1229" s="147"/>
      <c r="D1229" s="258"/>
      <c r="F1229" s="149"/>
    </row>
    <row r="1230" spans="1:7" s="140" customFormat="1" ht="13.15">
      <c r="A1230" s="207" t="s">
        <v>124</v>
      </c>
      <c r="B1230" s="276"/>
      <c r="C1230" s="33" t="s">
        <v>588</v>
      </c>
      <c r="D1230" s="275"/>
      <c r="E1230" s="264"/>
      <c r="F1230" s="149"/>
    </row>
    <row r="1231" spans="1:7" ht="13.15">
      <c r="A1231" s="211"/>
      <c r="B1231" s="279"/>
      <c r="C1231" s="272"/>
      <c r="D1231" s="258"/>
      <c r="F1231" s="149"/>
    </row>
    <row r="1232" spans="1:7" s="129" customFormat="1" ht="64.5">
      <c r="A1232" s="162" t="s">
        <v>124</v>
      </c>
      <c r="B1232" s="131">
        <v>1</v>
      </c>
      <c r="C1232" s="130" t="s">
        <v>933</v>
      </c>
      <c r="D1232" s="288"/>
      <c r="E1232" s="241"/>
      <c r="F1232" s="206"/>
      <c r="G1232" s="206"/>
    </row>
    <row r="1233" spans="1:16" s="140" customFormat="1" ht="102.75">
      <c r="A1233" s="207"/>
      <c r="B1233" s="276"/>
      <c r="C1233" s="32" t="s">
        <v>1935</v>
      </c>
      <c r="D1233" s="275"/>
      <c r="E1233" s="206"/>
      <c r="F1233" s="206"/>
      <c r="G1233" s="206"/>
    </row>
    <row r="1234" spans="1:16" s="140" customFormat="1" ht="76.5">
      <c r="A1234" s="207"/>
      <c r="B1234" s="276"/>
      <c r="C1234" s="277" t="s">
        <v>77</v>
      </c>
      <c r="D1234" s="275"/>
      <c r="E1234" s="206"/>
      <c r="F1234" s="206"/>
      <c r="G1234" s="206"/>
    </row>
    <row r="1235" spans="1:16" s="140" customFormat="1" ht="63.75">
      <c r="A1235" s="207"/>
      <c r="B1235" s="276"/>
      <c r="C1235" s="277" t="s">
        <v>78</v>
      </c>
      <c r="D1235" s="275"/>
      <c r="E1235" s="206"/>
      <c r="F1235" s="206"/>
      <c r="G1235" s="206"/>
    </row>
    <row r="1236" spans="1:16" s="140" customFormat="1" ht="25.5">
      <c r="A1236" s="207"/>
      <c r="B1236" s="276"/>
      <c r="C1236" s="277" t="s">
        <v>79</v>
      </c>
      <c r="D1236" s="275"/>
      <c r="E1236" s="206"/>
      <c r="F1236" s="206"/>
      <c r="G1236" s="206"/>
    </row>
    <row r="1237" spans="1:16" s="140" customFormat="1" ht="63.75">
      <c r="A1237" s="207"/>
      <c r="B1237" s="276"/>
      <c r="C1237" s="278" t="s">
        <v>931</v>
      </c>
      <c r="D1237" s="275"/>
      <c r="E1237" s="206"/>
      <c r="F1237" s="206"/>
      <c r="G1237" s="206"/>
      <c r="I1237" s="289"/>
      <c r="J1237" s="289"/>
      <c r="K1237" s="289"/>
      <c r="L1237" s="289"/>
    </row>
    <row r="1238" spans="1:16" s="140" customFormat="1" ht="25.9">
      <c r="A1238" s="207"/>
      <c r="B1238" s="276"/>
      <c r="C1238" s="277" t="s">
        <v>932</v>
      </c>
      <c r="D1238" s="275"/>
      <c r="E1238" s="206"/>
      <c r="F1238" s="206"/>
      <c r="G1238" s="206"/>
    </row>
    <row r="1239" spans="1:16" s="140" customFormat="1" ht="13.15">
      <c r="A1239" s="207"/>
      <c r="B1239" s="276"/>
      <c r="C1239" s="156" t="s">
        <v>1985</v>
      </c>
      <c r="D1239" s="448" t="s">
        <v>2</v>
      </c>
      <c r="E1239" s="385">
        <v>64.47</v>
      </c>
      <c r="F1239" s="424"/>
      <c r="G1239" s="386">
        <f>E1239*F1239</f>
        <v>0</v>
      </c>
    </row>
    <row r="1240" spans="1:16" ht="13.15">
      <c r="A1240" s="211"/>
      <c r="B1240" s="279"/>
      <c r="C1240" s="272"/>
      <c r="D1240" s="258"/>
      <c r="E1240" s="251"/>
      <c r="F1240" s="206"/>
      <c r="G1240" s="206"/>
    </row>
    <row r="1241" spans="1:16" s="140" customFormat="1" ht="123" customHeight="1">
      <c r="A1241" s="207" t="s">
        <v>124</v>
      </c>
      <c r="B1241" s="139">
        <v>2</v>
      </c>
      <c r="C1241" s="137" t="s">
        <v>934</v>
      </c>
      <c r="D1241" s="275"/>
      <c r="E1241" s="206"/>
      <c r="F1241" s="206"/>
      <c r="G1241" s="206"/>
    </row>
    <row r="1242" spans="1:16" s="140" customFormat="1" ht="38.25">
      <c r="A1242" s="207"/>
      <c r="B1242" s="276"/>
      <c r="C1242" s="277" t="s">
        <v>73</v>
      </c>
      <c r="D1242" s="275"/>
      <c r="E1242" s="206"/>
      <c r="F1242" s="206"/>
      <c r="G1242" s="206"/>
    </row>
    <row r="1243" spans="1:16" s="140" customFormat="1" ht="63.75">
      <c r="A1243" s="207"/>
      <c r="B1243" s="276"/>
      <c r="C1243" s="277" t="s">
        <v>816</v>
      </c>
      <c r="D1243" s="275"/>
      <c r="E1243" s="206"/>
      <c r="F1243" s="206"/>
      <c r="G1243" s="206"/>
      <c r="I1243" s="156"/>
      <c r="J1243" s="156"/>
      <c r="K1243" s="156"/>
      <c r="L1243" s="156"/>
    </row>
    <row r="1244" spans="1:16" s="140" customFormat="1" ht="63.75">
      <c r="A1244" s="207"/>
      <c r="B1244" s="276"/>
      <c r="C1244" s="277" t="s">
        <v>74</v>
      </c>
      <c r="D1244" s="275"/>
      <c r="E1244" s="206"/>
      <c r="F1244" s="206"/>
      <c r="G1244" s="206"/>
      <c r="I1244" s="156"/>
      <c r="J1244" s="156"/>
      <c r="K1244" s="156"/>
      <c r="L1244" s="156"/>
    </row>
    <row r="1245" spans="1:16" s="140" customFormat="1" ht="63.75">
      <c r="A1245" s="207"/>
      <c r="B1245" s="276"/>
      <c r="C1245" s="277" t="s">
        <v>75</v>
      </c>
      <c r="D1245" s="275"/>
      <c r="E1245" s="206"/>
      <c r="F1245" s="206"/>
      <c r="G1245" s="206"/>
      <c r="I1245" s="156"/>
      <c r="J1245" s="156"/>
      <c r="K1245" s="156"/>
      <c r="L1245" s="156"/>
    </row>
    <row r="1246" spans="1:16" s="140" customFormat="1" ht="63.75">
      <c r="A1246" s="207"/>
      <c r="B1246" s="276"/>
      <c r="C1246" s="278" t="s">
        <v>931</v>
      </c>
      <c r="D1246" s="275"/>
      <c r="E1246" s="206"/>
      <c r="F1246" s="206"/>
      <c r="G1246" s="206"/>
    </row>
    <row r="1247" spans="1:16" s="140" customFormat="1" ht="25.5">
      <c r="A1247" s="207"/>
      <c r="B1247" s="276"/>
      <c r="C1247" s="277" t="s">
        <v>76</v>
      </c>
      <c r="D1247" s="275"/>
      <c r="E1247" s="206"/>
      <c r="F1247" s="206"/>
      <c r="G1247" s="206"/>
      <c r="J1247" s="156"/>
      <c r="K1247" s="156"/>
      <c r="L1247" s="156"/>
      <c r="M1247" s="156"/>
      <c r="N1247" s="156"/>
      <c r="O1247" s="156"/>
      <c r="P1247" s="156"/>
    </row>
    <row r="1248" spans="1:16" s="140" customFormat="1" ht="13.15">
      <c r="A1248" s="207"/>
      <c r="B1248" s="276"/>
      <c r="C1248" s="277"/>
      <c r="D1248" s="275"/>
      <c r="E1248" s="206"/>
      <c r="F1248" s="206"/>
      <c r="G1248" s="206"/>
      <c r="J1248" s="156"/>
      <c r="K1248" s="156"/>
      <c r="L1248" s="156"/>
      <c r="M1248" s="156"/>
      <c r="N1248" s="156"/>
      <c r="O1248" s="156"/>
      <c r="P1248" s="156"/>
    </row>
    <row r="1249" spans="1:16" s="140" customFormat="1" ht="64.5">
      <c r="A1249" s="207"/>
      <c r="B1249" s="276"/>
      <c r="C1249" s="277" t="s">
        <v>941</v>
      </c>
      <c r="D1249" s="275"/>
      <c r="E1249" s="206"/>
      <c r="F1249" s="206"/>
      <c r="G1249" s="206"/>
      <c r="J1249" s="156"/>
      <c r="K1249" s="156"/>
      <c r="L1249" s="156"/>
      <c r="M1249" s="156"/>
      <c r="N1249" s="156"/>
      <c r="O1249" s="156"/>
      <c r="P1249" s="156"/>
    </row>
    <row r="1250" spans="1:16" s="140" customFormat="1" ht="38.25">
      <c r="A1250" s="207"/>
      <c r="B1250" s="276"/>
      <c r="C1250" s="277" t="s">
        <v>92</v>
      </c>
      <c r="D1250" s="275"/>
      <c r="E1250" s="206"/>
      <c r="F1250" s="206"/>
      <c r="G1250" s="206"/>
      <c r="J1250" s="156"/>
      <c r="K1250" s="156"/>
      <c r="L1250" s="156"/>
      <c r="M1250" s="156"/>
      <c r="N1250" s="156"/>
      <c r="O1250" s="156"/>
      <c r="P1250" s="156"/>
    </row>
    <row r="1251" spans="1:16" ht="25.5">
      <c r="A1251" s="211"/>
      <c r="B1251" s="279"/>
      <c r="C1251" s="277" t="s">
        <v>935</v>
      </c>
      <c r="D1251" s="258"/>
      <c r="E1251" s="251"/>
      <c r="F1251" s="206"/>
      <c r="G1251" s="206"/>
      <c r="J1251" s="134"/>
      <c r="K1251" s="134"/>
      <c r="L1251" s="134"/>
      <c r="M1251" s="134"/>
      <c r="N1251" s="134"/>
      <c r="O1251" s="134"/>
      <c r="P1251" s="134"/>
    </row>
    <row r="1252" spans="1:16" ht="25.9">
      <c r="A1252" s="211"/>
      <c r="B1252" s="279"/>
      <c r="C1252" s="277" t="s">
        <v>940</v>
      </c>
      <c r="D1252" s="258"/>
      <c r="E1252" s="251"/>
      <c r="F1252" s="206"/>
      <c r="G1252" s="206"/>
      <c r="J1252" s="134"/>
      <c r="K1252" s="134"/>
      <c r="L1252" s="134"/>
      <c r="M1252" s="134"/>
      <c r="N1252" s="134"/>
      <c r="O1252" s="134"/>
      <c r="P1252" s="134"/>
    </row>
    <row r="1253" spans="1:16" ht="13.15">
      <c r="A1253" s="211"/>
      <c r="B1253" s="279"/>
      <c r="C1253" s="136" t="s">
        <v>2089</v>
      </c>
      <c r="D1253" s="139" t="s">
        <v>2</v>
      </c>
      <c r="E1253" s="385">
        <v>1331.33</v>
      </c>
      <c r="F1253" s="424"/>
      <c r="G1253" s="386">
        <f>E1253*F1253</f>
        <v>0</v>
      </c>
      <c r="J1253" s="134"/>
      <c r="K1253" s="134"/>
      <c r="L1253" s="134"/>
      <c r="M1253" s="134"/>
      <c r="N1253" s="134"/>
      <c r="O1253" s="134"/>
      <c r="P1253" s="134"/>
    </row>
    <row r="1254" spans="1:16" ht="13.15">
      <c r="A1254" s="211"/>
      <c r="B1254" s="279"/>
      <c r="C1254" s="290"/>
      <c r="D1254" s="147"/>
      <c r="E1254" s="251"/>
      <c r="F1254" s="206"/>
      <c r="G1254" s="206"/>
      <c r="J1254" s="134"/>
      <c r="K1254" s="134"/>
      <c r="L1254" s="134"/>
      <c r="M1254" s="134"/>
      <c r="N1254" s="134"/>
      <c r="O1254" s="134"/>
      <c r="P1254" s="134"/>
    </row>
    <row r="1255" spans="1:16" ht="51">
      <c r="A1255" s="211"/>
      <c r="B1255" s="279"/>
      <c r="C1255" s="250" t="s">
        <v>942</v>
      </c>
      <c r="D1255" s="147"/>
      <c r="E1255" s="251"/>
      <c r="F1255" s="206"/>
      <c r="G1255" s="206"/>
    </row>
    <row r="1256" spans="1:16" ht="25.5">
      <c r="A1256" s="211"/>
      <c r="B1256" s="279"/>
      <c r="C1256" s="136" t="s">
        <v>2090</v>
      </c>
      <c r="D1256" s="139" t="s">
        <v>2</v>
      </c>
      <c r="E1256" s="385">
        <v>5.04</v>
      </c>
      <c r="F1256" s="424"/>
      <c r="G1256" s="386">
        <f>E1256*F1256</f>
        <v>0</v>
      </c>
    </row>
    <row r="1257" spans="1:16" ht="13.15">
      <c r="A1257" s="211"/>
      <c r="B1257" s="279"/>
      <c r="C1257" s="290"/>
      <c r="D1257" s="147"/>
      <c r="E1257" s="251"/>
      <c r="F1257" s="206"/>
      <c r="G1257" s="206"/>
    </row>
    <row r="1258" spans="1:16" ht="51">
      <c r="A1258" s="211"/>
      <c r="B1258" s="279"/>
      <c r="C1258" s="250" t="s">
        <v>942</v>
      </c>
      <c r="D1258" s="147"/>
      <c r="E1258" s="251"/>
      <c r="F1258" s="206"/>
      <c r="G1258" s="206"/>
    </row>
    <row r="1259" spans="1:16" ht="13.15">
      <c r="A1259" s="211"/>
      <c r="B1259" s="257"/>
      <c r="C1259" s="291"/>
      <c r="D1259" s="258"/>
      <c r="E1259" s="251"/>
      <c r="F1259" s="375"/>
      <c r="G1259" s="206"/>
    </row>
    <row r="1260" spans="1:16" ht="127.5">
      <c r="A1260" s="207" t="s">
        <v>124</v>
      </c>
      <c r="B1260" s="139">
        <v>3</v>
      </c>
      <c r="C1260" s="132" t="s">
        <v>1120</v>
      </c>
      <c r="E1260" s="251"/>
      <c r="F1260" s="375"/>
      <c r="G1260" s="206"/>
    </row>
    <row r="1261" spans="1:16" ht="13.15">
      <c r="A1261" s="207"/>
      <c r="B1261" s="139"/>
      <c r="C1261" s="132"/>
      <c r="D1261" s="452" t="s">
        <v>2</v>
      </c>
      <c r="E1261" s="451">
        <v>15</v>
      </c>
      <c r="F1261" s="376"/>
      <c r="G1261" s="386">
        <f>E1261*F1261</f>
        <v>0</v>
      </c>
    </row>
    <row r="1262" spans="1:16" ht="13.15">
      <c r="A1262" s="207"/>
      <c r="B1262" s="139"/>
      <c r="C1262" s="132"/>
      <c r="D1262" s="164"/>
      <c r="E1262" s="241"/>
      <c r="F1262" s="375"/>
      <c r="G1262" s="206"/>
    </row>
    <row r="1263" spans="1:16" s="21" customFormat="1" ht="13.15">
      <c r="A1263" s="211"/>
      <c r="B1263" s="257"/>
      <c r="C1263" s="134"/>
      <c r="D1263" s="258"/>
      <c r="E1263" s="251"/>
      <c r="F1263" s="206"/>
      <c r="G1263" s="206"/>
    </row>
    <row r="1264" spans="1:16" s="129" customFormat="1" ht="13.15">
      <c r="A1264" s="162" t="s">
        <v>124</v>
      </c>
      <c r="B1264" s="191"/>
      <c r="C1264" s="217" t="s">
        <v>1134</v>
      </c>
      <c r="D1264" s="220"/>
      <c r="E1264" s="363"/>
      <c r="F1264" s="377"/>
      <c r="G1264" s="377">
        <f>SUM(G1239:G1261)</f>
        <v>0</v>
      </c>
    </row>
    <row r="1265" spans="1:7" s="129" customFormat="1" ht="13.15">
      <c r="A1265" s="214"/>
      <c r="B1265" s="191"/>
      <c r="C1265" s="212"/>
      <c r="D1265" s="213"/>
      <c r="E1265" s="361"/>
      <c r="F1265" s="110"/>
      <c r="G1265" s="110"/>
    </row>
    <row r="1266" spans="1:7" s="129" customFormat="1" ht="13.15">
      <c r="A1266" s="214"/>
      <c r="B1266" s="191"/>
      <c r="C1266" s="212"/>
      <c r="D1266" s="213"/>
      <c r="E1266" s="361"/>
      <c r="F1266" s="110"/>
      <c r="G1266" s="110"/>
    </row>
    <row r="1267" spans="1:7" s="140" customFormat="1" ht="13.15">
      <c r="A1267" s="214" t="s">
        <v>1135</v>
      </c>
      <c r="B1267" s="292"/>
      <c r="C1267" s="293" t="s">
        <v>1163</v>
      </c>
      <c r="D1267" s="294"/>
      <c r="E1267" s="378"/>
      <c r="F1267" s="378"/>
      <c r="G1267" s="379">
        <f>G352+G384+G607+G625+G751+G886+G953+G1199+G1264</f>
        <v>92133.331999999995</v>
      </c>
    </row>
    <row r="1268" spans="1:7" s="140" customFormat="1" ht="13.15">
      <c r="A1268" s="214"/>
      <c r="B1268" s="295"/>
      <c r="C1268" s="296"/>
      <c r="D1268" s="297"/>
      <c r="E1268" s="380"/>
      <c r="F1268" s="380"/>
      <c r="G1268" s="381"/>
    </row>
    <row r="1269" spans="1:7" s="140" customFormat="1" ht="13.15">
      <c r="A1269" s="214"/>
      <c r="B1269" s="295"/>
      <c r="C1269" s="296"/>
      <c r="D1269" s="297"/>
      <c r="E1269" s="382"/>
      <c r="F1269" s="383"/>
      <c r="G1269" s="384"/>
    </row>
    <row r="1270" spans="1:7" s="129" customFormat="1" ht="13.15">
      <c r="A1270" s="214" t="s">
        <v>1136</v>
      </c>
      <c r="B1270" s="191"/>
      <c r="C1270" s="298" t="s">
        <v>60</v>
      </c>
      <c r="D1270" s="213"/>
      <c r="E1270" s="361"/>
      <c r="F1270" s="29"/>
      <c r="G1270" s="29"/>
    </row>
    <row r="1271" spans="1:7" s="21" customFormat="1" ht="13.15">
      <c r="A1271" s="117"/>
      <c r="B1271" s="105"/>
      <c r="C1271" s="272"/>
      <c r="D1271" s="50"/>
      <c r="E1271" s="34"/>
      <c r="F1271" s="29"/>
      <c r="G1271" s="29"/>
    </row>
    <row r="1272" spans="1:7" s="129" customFormat="1" ht="13.15">
      <c r="A1272" s="162" t="s">
        <v>125</v>
      </c>
      <c r="B1272" s="127"/>
      <c r="C1272" s="911" t="s">
        <v>1019</v>
      </c>
      <c r="D1272" s="911"/>
      <c r="E1272" s="911"/>
      <c r="F1272" s="911"/>
      <c r="G1272" s="911"/>
    </row>
    <row r="1273" spans="1:7" s="129" customFormat="1">
      <c r="A1273" s="126"/>
      <c r="B1273" s="127"/>
      <c r="C1273" s="899" t="s">
        <v>392</v>
      </c>
      <c r="D1273" s="899"/>
      <c r="E1273" s="899"/>
      <c r="F1273" s="899"/>
      <c r="G1273" s="899"/>
    </row>
    <row r="1274" spans="1:7" s="129" customFormat="1" ht="48" customHeight="1">
      <c r="A1274" s="126"/>
      <c r="B1274" s="127"/>
      <c r="C1274" s="899" t="s">
        <v>604</v>
      </c>
      <c r="D1274" s="899"/>
      <c r="E1274" s="899"/>
      <c r="F1274" s="899"/>
      <c r="G1274" s="899"/>
    </row>
    <row r="1275" spans="1:7" s="129" customFormat="1">
      <c r="A1275" s="126"/>
      <c r="B1275" s="127"/>
      <c r="C1275" s="899" t="s">
        <v>394</v>
      </c>
      <c r="D1275" s="899"/>
      <c r="E1275" s="899"/>
      <c r="F1275" s="899"/>
      <c r="G1275" s="899"/>
    </row>
    <row r="1276" spans="1:7" s="129" customFormat="1" ht="13.5" customHeight="1">
      <c r="A1276" s="126"/>
      <c r="B1276" s="127"/>
      <c r="C1276" s="899" t="s">
        <v>605</v>
      </c>
      <c r="D1276" s="899"/>
      <c r="E1276" s="899"/>
      <c r="F1276" s="899"/>
      <c r="G1276" s="899"/>
    </row>
    <row r="1277" spans="1:7" s="129" customFormat="1" ht="13.5" customHeight="1">
      <c r="A1277" s="126"/>
      <c r="B1277" s="127"/>
      <c r="C1277" s="899" t="s">
        <v>606</v>
      </c>
      <c r="D1277" s="899"/>
      <c r="E1277" s="899"/>
      <c r="F1277" s="899"/>
      <c r="G1277" s="899"/>
    </row>
    <row r="1278" spans="1:7" s="129" customFormat="1">
      <c r="A1278" s="126"/>
      <c r="B1278" s="127"/>
      <c r="C1278" s="899" t="s">
        <v>607</v>
      </c>
      <c r="D1278" s="899"/>
      <c r="E1278" s="899"/>
      <c r="F1278" s="899"/>
      <c r="G1278" s="899"/>
    </row>
    <row r="1279" spans="1:7" s="129" customFormat="1">
      <c r="A1279" s="126"/>
      <c r="B1279" s="127"/>
      <c r="C1279" s="899" t="s">
        <v>608</v>
      </c>
      <c r="D1279" s="899"/>
      <c r="E1279" s="899"/>
      <c r="F1279" s="899"/>
      <c r="G1279" s="899"/>
    </row>
    <row r="1280" spans="1:7" s="129" customFormat="1">
      <c r="A1280" s="126"/>
      <c r="B1280" s="127"/>
      <c r="C1280" s="899" t="s">
        <v>609</v>
      </c>
      <c r="D1280" s="899"/>
      <c r="E1280" s="899"/>
      <c r="F1280" s="899"/>
      <c r="G1280" s="899"/>
    </row>
    <row r="1281" spans="1:7" s="129" customFormat="1">
      <c r="A1281" s="126"/>
      <c r="B1281" s="127"/>
      <c r="C1281" s="899" t="s">
        <v>610</v>
      </c>
      <c r="D1281" s="899"/>
      <c r="E1281" s="899"/>
      <c r="F1281" s="899"/>
      <c r="G1281" s="899"/>
    </row>
    <row r="1282" spans="1:7" s="129" customFormat="1" ht="38.25" customHeight="1">
      <c r="A1282" s="126"/>
      <c r="B1282" s="127"/>
      <c r="C1282" s="899" t="s">
        <v>611</v>
      </c>
      <c r="D1282" s="899"/>
      <c r="E1282" s="899"/>
      <c r="F1282" s="899"/>
      <c r="G1282" s="899"/>
    </row>
    <row r="1283" spans="1:7" s="129" customFormat="1">
      <c r="A1283" s="126"/>
      <c r="B1283" s="127"/>
      <c r="C1283" s="899" t="s">
        <v>612</v>
      </c>
      <c r="D1283" s="899"/>
      <c r="E1283" s="899"/>
      <c r="F1283" s="899"/>
      <c r="G1283" s="899"/>
    </row>
    <row r="1284" spans="1:7" s="129" customFormat="1" ht="43.5" customHeight="1">
      <c r="A1284" s="126"/>
      <c r="B1284" s="127"/>
      <c r="C1284" s="899" t="s">
        <v>613</v>
      </c>
      <c r="D1284" s="899"/>
      <c r="E1284" s="899"/>
      <c r="F1284" s="899"/>
      <c r="G1284" s="899"/>
    </row>
    <row r="1285" spans="1:7" s="129" customFormat="1" ht="29.25" customHeight="1">
      <c r="A1285" s="126"/>
      <c r="B1285" s="127"/>
      <c r="C1285" s="899" t="s">
        <v>614</v>
      </c>
      <c r="D1285" s="899"/>
      <c r="E1285" s="899"/>
      <c r="F1285" s="899"/>
      <c r="G1285" s="899"/>
    </row>
    <row r="1286" spans="1:7" s="129" customFormat="1" ht="33" customHeight="1">
      <c r="A1286" s="126"/>
      <c r="B1286" s="127"/>
      <c r="C1286" s="899" t="s">
        <v>615</v>
      </c>
      <c r="D1286" s="899"/>
      <c r="E1286" s="899"/>
      <c r="F1286" s="899"/>
      <c r="G1286" s="899"/>
    </row>
    <row r="1287" spans="1:7" s="129" customFormat="1" ht="60" customHeight="1">
      <c r="A1287" s="126"/>
      <c r="B1287" s="127"/>
      <c r="C1287" s="899" t="s">
        <v>918</v>
      </c>
      <c r="D1287" s="899"/>
      <c r="E1287" s="899"/>
      <c r="F1287" s="899"/>
      <c r="G1287" s="899"/>
    </row>
    <row r="1288" spans="1:7" s="129" customFormat="1" ht="54.75" customHeight="1">
      <c r="A1288" s="126"/>
      <c r="B1288" s="127"/>
      <c r="C1288" s="899" t="s">
        <v>616</v>
      </c>
      <c r="D1288" s="899"/>
      <c r="E1288" s="899"/>
      <c r="F1288" s="899"/>
      <c r="G1288" s="899"/>
    </row>
    <row r="1289" spans="1:7" s="129" customFormat="1" ht="43.5" customHeight="1">
      <c r="A1289" s="126"/>
      <c r="B1289" s="127"/>
      <c r="C1289" s="899" t="s">
        <v>617</v>
      </c>
      <c r="D1289" s="899"/>
      <c r="E1289" s="899"/>
      <c r="F1289" s="899"/>
      <c r="G1289" s="899"/>
    </row>
    <row r="1290" spans="1:7" s="129" customFormat="1" ht="18.75" customHeight="1">
      <c r="A1290" s="126"/>
      <c r="B1290" s="127"/>
      <c r="C1290" s="899" t="s">
        <v>618</v>
      </c>
      <c r="D1290" s="899"/>
      <c r="E1290" s="899"/>
      <c r="F1290" s="899"/>
      <c r="G1290" s="899"/>
    </row>
    <row r="1291" spans="1:7" s="129" customFormat="1">
      <c r="A1291" s="126"/>
      <c r="B1291" s="127"/>
      <c r="C1291" s="899" t="s">
        <v>619</v>
      </c>
      <c r="D1291" s="899"/>
      <c r="E1291" s="899"/>
      <c r="F1291" s="899"/>
      <c r="G1291" s="899"/>
    </row>
    <row r="1292" spans="1:7" s="129" customFormat="1">
      <c r="A1292" s="126"/>
      <c r="B1292" s="127"/>
      <c r="C1292" s="899" t="s">
        <v>620</v>
      </c>
      <c r="D1292" s="899"/>
      <c r="E1292" s="899"/>
      <c r="F1292" s="899"/>
      <c r="G1292" s="899"/>
    </row>
    <row r="1293" spans="1:7" s="129" customFormat="1">
      <c r="A1293" s="126"/>
      <c r="B1293" s="127"/>
      <c r="C1293" s="899" t="s">
        <v>621</v>
      </c>
      <c r="D1293" s="899"/>
      <c r="E1293" s="899"/>
      <c r="F1293" s="899"/>
      <c r="G1293" s="899"/>
    </row>
    <row r="1294" spans="1:7" s="129" customFormat="1">
      <c r="A1294" s="126"/>
      <c r="B1294" s="127"/>
      <c r="C1294" s="899" t="s">
        <v>622</v>
      </c>
      <c r="D1294" s="899"/>
      <c r="E1294" s="899"/>
      <c r="F1294" s="899"/>
      <c r="G1294" s="899"/>
    </row>
    <row r="1295" spans="1:7" s="129" customFormat="1">
      <c r="A1295" s="126"/>
      <c r="B1295" s="127"/>
      <c r="C1295" s="899" t="s">
        <v>623</v>
      </c>
      <c r="D1295" s="899"/>
      <c r="E1295" s="899"/>
      <c r="F1295" s="899"/>
      <c r="G1295" s="899"/>
    </row>
    <row r="1296" spans="1:7" s="49" customFormat="1">
      <c r="A1296" s="126"/>
      <c r="B1296" s="127"/>
      <c r="C1296" s="899" t="s">
        <v>624</v>
      </c>
      <c r="D1296" s="899"/>
      <c r="E1296" s="899"/>
      <c r="F1296" s="899"/>
      <c r="G1296" s="899"/>
    </row>
    <row r="1297" spans="1:7" s="49" customFormat="1">
      <c r="A1297" s="126"/>
      <c r="B1297" s="127"/>
      <c r="C1297" s="899" t="s">
        <v>625</v>
      </c>
      <c r="D1297" s="899"/>
      <c r="E1297" s="899"/>
      <c r="F1297" s="899"/>
      <c r="G1297" s="899"/>
    </row>
    <row r="1298" spans="1:7" s="49" customFormat="1">
      <c r="A1298" s="126"/>
      <c r="B1298" s="127"/>
      <c r="C1298" s="899" t="s">
        <v>626</v>
      </c>
      <c r="D1298" s="899"/>
      <c r="E1298" s="899"/>
      <c r="F1298" s="899"/>
      <c r="G1298" s="899"/>
    </row>
    <row r="1299" spans="1:7" s="129" customFormat="1">
      <c r="A1299" s="126"/>
      <c r="B1299" s="127"/>
      <c r="C1299" s="899" t="s">
        <v>627</v>
      </c>
      <c r="D1299" s="899"/>
      <c r="E1299" s="899"/>
      <c r="F1299" s="899"/>
      <c r="G1299" s="899"/>
    </row>
    <row r="1300" spans="1:7" s="129" customFormat="1">
      <c r="A1300" s="126"/>
      <c r="B1300" s="127"/>
      <c r="C1300" s="899" t="s">
        <v>628</v>
      </c>
      <c r="D1300" s="899"/>
      <c r="E1300" s="899"/>
      <c r="F1300" s="899"/>
      <c r="G1300" s="899"/>
    </row>
    <row r="1301" spans="1:7" s="129" customFormat="1">
      <c r="A1301" s="126"/>
      <c r="B1301" s="127"/>
      <c r="C1301" s="899" t="s">
        <v>629</v>
      </c>
      <c r="D1301" s="899"/>
      <c r="E1301" s="899"/>
      <c r="F1301" s="899"/>
      <c r="G1301" s="899"/>
    </row>
    <row r="1302" spans="1:7" s="129" customFormat="1">
      <c r="A1302" s="126"/>
      <c r="B1302" s="127"/>
      <c r="C1302" s="899" t="s">
        <v>630</v>
      </c>
      <c r="D1302" s="899"/>
      <c r="E1302" s="899"/>
      <c r="F1302" s="899"/>
      <c r="G1302" s="899"/>
    </row>
    <row r="1303" spans="1:7" ht="13.15">
      <c r="A1303" s="117"/>
      <c r="B1303" s="105"/>
      <c r="C1303" s="204"/>
      <c r="D1303" s="50"/>
      <c r="E1303" s="34"/>
      <c r="F1303" s="29"/>
      <c r="G1303" s="29"/>
    </row>
    <row r="1304" spans="1:7" ht="13.15">
      <c r="A1304" s="117"/>
      <c r="B1304" s="105"/>
      <c r="C1304" s="204"/>
      <c r="D1304" s="50"/>
      <c r="E1304" s="34"/>
      <c r="F1304" s="29"/>
      <c r="G1304" s="29"/>
    </row>
    <row r="1305" spans="1:7" s="140" customFormat="1" ht="13.15">
      <c r="A1305" s="111" t="s">
        <v>125</v>
      </c>
      <c r="B1305" s="112"/>
      <c r="C1305" s="32" t="s">
        <v>71</v>
      </c>
      <c r="D1305" s="36"/>
      <c r="E1305" s="203"/>
      <c r="F1305" s="29"/>
      <c r="G1305" s="29"/>
    </row>
    <row r="1306" spans="1:7" ht="13.15">
      <c r="A1306" s="117"/>
      <c r="B1306" s="105"/>
      <c r="C1306" s="272"/>
      <c r="D1306" s="50"/>
      <c r="E1306" s="299"/>
      <c r="F1306" s="29"/>
      <c r="G1306" s="29"/>
    </row>
    <row r="1307" spans="1:7" s="24" customFormat="1" ht="84.75" customHeight="1">
      <c r="A1307" s="162" t="s">
        <v>125</v>
      </c>
      <c r="B1307" s="139">
        <v>1</v>
      </c>
      <c r="C1307" s="156" t="s">
        <v>1022</v>
      </c>
      <c r="D1307" s="36"/>
      <c r="E1307" s="324"/>
      <c r="F1307" s="385"/>
      <c r="G1307" s="385"/>
    </row>
    <row r="1308" spans="1:7" s="24" customFormat="1" ht="13.15">
      <c r="A1308" s="162"/>
      <c r="B1308" s="139"/>
      <c r="C1308" s="156"/>
      <c r="D1308" s="153" t="s">
        <v>2</v>
      </c>
      <c r="E1308" s="385">
        <v>536.46</v>
      </c>
      <c r="F1308" s="424"/>
      <c r="G1308" s="386">
        <f>E1308*F1308</f>
        <v>0</v>
      </c>
    </row>
    <row r="1309" spans="1:7" s="24" customFormat="1" ht="13.15">
      <c r="A1309" s="207"/>
      <c r="B1309" s="139"/>
      <c r="C1309" s="156"/>
      <c r="D1309" s="153"/>
      <c r="E1309" s="435"/>
      <c r="F1309" s="385"/>
      <c r="G1309" s="385"/>
    </row>
    <row r="1310" spans="1:7" s="24" customFormat="1" ht="89.65">
      <c r="A1310" s="162" t="s">
        <v>125</v>
      </c>
      <c r="B1310" s="139">
        <v>2</v>
      </c>
      <c r="C1310" s="156" t="s">
        <v>1017</v>
      </c>
      <c r="D1310" s="153"/>
      <c r="E1310" s="435"/>
      <c r="F1310" s="385"/>
      <c r="G1310" s="385"/>
    </row>
    <row r="1311" spans="1:7" s="140" customFormat="1" ht="26.25" customHeight="1">
      <c r="A1311" s="207"/>
      <c r="B1311" s="139"/>
      <c r="C1311" s="156" t="s">
        <v>1015</v>
      </c>
      <c r="D1311" s="153" t="s">
        <v>23</v>
      </c>
      <c r="E1311" s="385">
        <v>179.08</v>
      </c>
      <c r="F1311" s="424"/>
      <c r="G1311" s="386">
        <f>E1311*F1311</f>
        <v>0</v>
      </c>
    </row>
    <row r="1312" spans="1:7" s="26" customFormat="1" ht="13.15">
      <c r="A1312" s="117"/>
      <c r="B1312" s="112"/>
      <c r="C1312" s="272"/>
      <c r="D1312" s="50"/>
      <c r="E1312" s="215"/>
      <c r="F1312" s="324"/>
      <c r="G1312" s="324"/>
    </row>
    <row r="1313" spans="1:18" s="26" customFormat="1" ht="90">
      <c r="A1313" s="162" t="s">
        <v>125</v>
      </c>
      <c r="B1313" s="112">
        <v>3</v>
      </c>
      <c r="C1313" s="136" t="s">
        <v>1018</v>
      </c>
      <c r="D1313" s="50"/>
      <c r="E1313" s="215"/>
      <c r="F1313" s="324"/>
      <c r="G1313" s="324"/>
    </row>
    <row r="1314" spans="1:18" s="26" customFormat="1" ht="13.15">
      <c r="A1314" s="162"/>
      <c r="B1314" s="112"/>
      <c r="C1314" s="136"/>
      <c r="D1314" s="213" t="s">
        <v>1016</v>
      </c>
      <c r="E1314" s="436">
        <v>1</v>
      </c>
      <c r="F1314" s="397"/>
      <c r="G1314" s="386">
        <f>E1314*F1314</f>
        <v>0</v>
      </c>
    </row>
    <row r="1315" spans="1:18" s="26" customFormat="1" ht="13.15">
      <c r="A1315" s="117"/>
      <c r="B1315" s="112"/>
      <c r="C1315" s="272"/>
      <c r="D1315" s="50"/>
      <c r="E1315" s="34"/>
      <c r="F1315" s="29"/>
      <c r="G1315" s="29"/>
    </row>
    <row r="1316" spans="1:18" s="26" customFormat="1" ht="89.65">
      <c r="A1316" s="162" t="s">
        <v>125</v>
      </c>
      <c r="B1316" s="112">
        <v>4</v>
      </c>
      <c r="C1316" s="176" t="s">
        <v>1014</v>
      </c>
      <c r="D1316" s="36" t="s">
        <v>23</v>
      </c>
      <c r="E1316" s="110">
        <v>137.69999999999999</v>
      </c>
      <c r="F1316" s="360"/>
      <c r="G1316" s="333">
        <f>E1316*F1316</f>
        <v>0</v>
      </c>
    </row>
    <row r="1317" spans="1:18" s="26" customFormat="1" ht="13.15">
      <c r="A1317" s="117"/>
      <c r="B1317" s="105"/>
      <c r="C1317" s="204"/>
      <c r="D1317" s="368"/>
      <c r="E1317" s="34"/>
      <c r="F1317" s="110"/>
      <c r="G1317" s="110"/>
    </row>
    <row r="1318" spans="1:18" s="21" customFormat="1" ht="13.15">
      <c r="A1318" s="117"/>
      <c r="B1318" s="105"/>
      <c r="C1318" s="204"/>
      <c r="D1318" s="368"/>
      <c r="E1318" s="34"/>
      <c r="F1318" s="110"/>
      <c r="G1318" s="110"/>
    </row>
    <row r="1319" spans="1:18" s="129" customFormat="1" ht="26.25">
      <c r="A1319" s="214" t="s">
        <v>125</v>
      </c>
      <c r="B1319" s="191"/>
      <c r="C1319" s="217" t="s">
        <v>106</v>
      </c>
      <c r="D1319" s="387"/>
      <c r="E1319" s="221"/>
      <c r="F1319" s="377"/>
      <c r="G1319" s="388">
        <f>SUM(G1307:G1316)</f>
        <v>0</v>
      </c>
      <c r="J1319" s="915"/>
      <c r="K1319" s="915"/>
      <c r="L1319" s="915"/>
      <c r="M1319" s="915"/>
      <c r="N1319" s="915"/>
      <c r="O1319" s="915"/>
      <c r="P1319" s="915"/>
      <c r="Q1319" s="915"/>
      <c r="R1319" s="915"/>
    </row>
    <row r="1320" spans="1:18" ht="13.15">
      <c r="A1320" s="117"/>
      <c r="B1320" s="105"/>
      <c r="C1320" s="204"/>
      <c r="D1320" s="50"/>
      <c r="E1320" s="34"/>
      <c r="F1320" s="29"/>
      <c r="G1320" s="29"/>
      <c r="I1320" s="916"/>
      <c r="J1320" s="916"/>
      <c r="K1320" s="916"/>
      <c r="L1320" s="916"/>
      <c r="M1320" s="916"/>
      <c r="N1320" s="916"/>
      <c r="O1320" s="916"/>
      <c r="P1320" s="916"/>
      <c r="Q1320" s="916"/>
      <c r="R1320" s="916"/>
    </row>
    <row r="1321" spans="1:18" ht="15" customHeight="1">
      <c r="A1321" s="117"/>
      <c r="B1321" s="105"/>
      <c r="C1321" s="204"/>
      <c r="D1321" s="50"/>
      <c r="E1321" s="34"/>
      <c r="F1321" s="29"/>
      <c r="G1321" s="29"/>
    </row>
    <row r="1322" spans="1:18" s="129" customFormat="1" ht="15" customHeight="1">
      <c r="A1322" s="162" t="s">
        <v>126</v>
      </c>
      <c r="B1322" s="127"/>
      <c r="C1322" s="911" t="s">
        <v>64</v>
      </c>
      <c r="D1322" s="911"/>
      <c r="E1322" s="911"/>
      <c r="F1322" s="911"/>
      <c r="G1322" s="911"/>
    </row>
    <row r="1323" spans="1:18" s="129" customFormat="1">
      <c r="A1323" s="126"/>
      <c r="B1323" s="127"/>
      <c r="C1323" s="899" t="s">
        <v>392</v>
      </c>
      <c r="D1323" s="899"/>
      <c r="E1323" s="899"/>
      <c r="F1323" s="899"/>
      <c r="G1323" s="899"/>
    </row>
    <row r="1324" spans="1:18" s="129" customFormat="1" ht="45" customHeight="1">
      <c r="A1324" s="126"/>
      <c r="B1324" s="127"/>
      <c r="C1324" s="899" t="s">
        <v>1922</v>
      </c>
      <c r="D1324" s="899"/>
      <c r="E1324" s="899"/>
      <c r="F1324" s="899"/>
      <c r="G1324" s="899"/>
    </row>
    <row r="1325" spans="1:18" s="129" customFormat="1" ht="12.75" customHeight="1">
      <c r="A1325" s="126"/>
      <c r="B1325" s="243"/>
      <c r="C1325" s="128"/>
      <c r="D1325" s="128"/>
      <c r="E1325" s="192"/>
      <c r="F1325" s="193"/>
      <c r="G1325" s="193"/>
      <c r="I1325" s="136"/>
      <c r="J1325" s="136"/>
      <c r="K1325" s="136"/>
      <c r="L1325" s="136"/>
      <c r="M1325" s="136"/>
      <c r="N1325" s="136"/>
      <c r="O1325" s="136"/>
      <c r="P1325" s="136"/>
      <c r="Q1325" s="136"/>
      <c r="R1325" s="136"/>
    </row>
    <row r="1326" spans="1:18" s="129" customFormat="1" ht="66.75" customHeight="1">
      <c r="A1326" s="126"/>
      <c r="B1326" s="127"/>
      <c r="C1326" s="899" t="s">
        <v>1151</v>
      </c>
      <c r="D1326" s="899"/>
      <c r="E1326" s="899"/>
      <c r="F1326" s="899"/>
      <c r="G1326" s="899"/>
      <c r="I1326" s="136"/>
      <c r="J1326" s="136"/>
      <c r="K1326" s="136"/>
      <c r="L1326" s="136"/>
      <c r="M1326" s="136"/>
      <c r="N1326" s="136"/>
      <c r="O1326" s="136"/>
      <c r="P1326" s="136"/>
      <c r="Q1326" s="136"/>
      <c r="R1326" s="136"/>
    </row>
    <row r="1327" spans="1:18" s="129" customFormat="1" ht="34.5" customHeight="1">
      <c r="A1327" s="126"/>
      <c r="B1327" s="127"/>
      <c r="C1327" s="899" t="s">
        <v>631</v>
      </c>
      <c r="D1327" s="899"/>
      <c r="E1327" s="899"/>
      <c r="F1327" s="899"/>
      <c r="G1327" s="899"/>
      <c r="I1327" s="136"/>
      <c r="J1327" s="136"/>
      <c r="K1327" s="136"/>
      <c r="L1327" s="136"/>
      <c r="M1327" s="136"/>
      <c r="N1327" s="136"/>
      <c r="O1327" s="136"/>
      <c r="P1327" s="136"/>
      <c r="Q1327" s="136"/>
      <c r="R1327" s="136"/>
    </row>
    <row r="1328" spans="1:18" s="129" customFormat="1" ht="18.75" customHeight="1">
      <c r="A1328" s="126"/>
      <c r="B1328" s="127"/>
      <c r="C1328" s="899" t="s">
        <v>632</v>
      </c>
      <c r="D1328" s="899"/>
      <c r="E1328" s="899"/>
      <c r="F1328" s="899"/>
      <c r="G1328" s="899"/>
      <c r="I1328" s="136"/>
      <c r="J1328" s="136"/>
      <c r="K1328" s="136"/>
      <c r="L1328" s="136"/>
      <c r="M1328" s="136"/>
      <c r="N1328" s="136"/>
      <c r="O1328" s="136"/>
      <c r="P1328" s="136"/>
      <c r="Q1328" s="136"/>
      <c r="R1328" s="136"/>
    </row>
    <row r="1329" spans="1:19" s="129" customFormat="1" ht="16.5" customHeight="1">
      <c r="A1329" s="126"/>
      <c r="B1329" s="127"/>
      <c r="C1329" s="899" t="s">
        <v>633</v>
      </c>
      <c r="D1329" s="899"/>
      <c r="E1329" s="899"/>
      <c r="F1329" s="899"/>
      <c r="G1329" s="899"/>
      <c r="I1329" s="136"/>
      <c r="J1329" s="136"/>
      <c r="K1329" s="136"/>
      <c r="L1329" s="136"/>
      <c r="M1329" s="136"/>
      <c r="N1329" s="136"/>
      <c r="O1329" s="136"/>
      <c r="P1329" s="136"/>
      <c r="Q1329" s="136"/>
      <c r="R1329" s="136"/>
    </row>
    <row r="1330" spans="1:19" s="129" customFormat="1" ht="27" customHeight="1">
      <c r="A1330" s="126"/>
      <c r="B1330" s="127"/>
      <c r="C1330" s="899" t="s">
        <v>634</v>
      </c>
      <c r="D1330" s="899"/>
      <c r="E1330" s="899"/>
      <c r="F1330" s="899"/>
      <c r="G1330" s="899"/>
      <c r="I1330" s="136"/>
      <c r="J1330" s="136"/>
      <c r="K1330" s="136"/>
      <c r="L1330" s="136"/>
      <c r="M1330" s="136"/>
      <c r="N1330" s="136"/>
      <c r="O1330" s="136"/>
      <c r="P1330" s="136"/>
      <c r="Q1330" s="136"/>
      <c r="R1330" s="136"/>
    </row>
    <row r="1331" spans="1:19" s="129" customFormat="1" ht="12" customHeight="1">
      <c r="A1331" s="126"/>
      <c r="B1331" s="127"/>
      <c r="C1331" s="163"/>
      <c r="D1331" s="163"/>
      <c r="E1331" s="198"/>
      <c r="F1331" s="125"/>
      <c r="G1331" s="125"/>
      <c r="I1331" s="136"/>
      <c r="J1331" s="136"/>
      <c r="K1331" s="136"/>
      <c r="L1331" s="136"/>
      <c r="M1331" s="136"/>
      <c r="N1331" s="136"/>
      <c r="O1331" s="136"/>
      <c r="P1331" s="136"/>
      <c r="Q1331" s="136"/>
      <c r="R1331" s="136"/>
    </row>
    <row r="1332" spans="1:19" s="129" customFormat="1" ht="27" customHeight="1">
      <c r="A1332" s="126"/>
      <c r="B1332" s="127"/>
      <c r="C1332" s="899" t="s">
        <v>635</v>
      </c>
      <c r="D1332" s="899"/>
      <c r="E1332" s="899"/>
      <c r="F1332" s="899"/>
      <c r="G1332" s="899"/>
      <c r="I1332" s="136"/>
      <c r="J1332" s="136"/>
      <c r="K1332" s="136"/>
      <c r="L1332" s="136"/>
      <c r="M1332" s="136"/>
      <c r="N1332" s="136"/>
      <c r="O1332" s="136"/>
      <c r="P1332" s="136"/>
      <c r="Q1332" s="136"/>
      <c r="R1332" s="136"/>
    </row>
    <row r="1333" spans="1:19" s="140" customFormat="1" ht="33" customHeight="1">
      <c r="A1333" s="138"/>
      <c r="B1333" s="139"/>
      <c r="C1333" s="913" t="s">
        <v>636</v>
      </c>
      <c r="D1333" s="913"/>
      <c r="E1333" s="913"/>
      <c r="F1333" s="913"/>
      <c r="G1333" s="913"/>
      <c r="I1333" s="156"/>
      <c r="J1333" s="156"/>
      <c r="K1333" s="156"/>
      <c r="L1333" s="156"/>
      <c r="M1333" s="156"/>
      <c r="N1333" s="156"/>
      <c r="O1333" s="156"/>
      <c r="P1333" s="156"/>
      <c r="Q1333" s="156"/>
      <c r="R1333" s="156"/>
    </row>
    <row r="1334" spans="1:19" s="140" customFormat="1" ht="27" customHeight="1">
      <c r="A1334" s="138"/>
      <c r="B1334" s="139"/>
      <c r="C1334" s="913" t="s">
        <v>637</v>
      </c>
      <c r="D1334" s="913"/>
      <c r="E1334" s="913"/>
      <c r="F1334" s="913"/>
      <c r="G1334" s="913"/>
      <c r="I1334" s="156"/>
      <c r="J1334" s="156"/>
      <c r="K1334" s="156"/>
      <c r="L1334" s="156"/>
      <c r="M1334" s="156"/>
      <c r="N1334" s="156"/>
      <c r="O1334" s="156"/>
      <c r="P1334" s="156"/>
      <c r="Q1334" s="156"/>
      <c r="R1334" s="156"/>
    </row>
    <row r="1335" spans="1:19" s="140" customFormat="1" ht="27" customHeight="1">
      <c r="A1335" s="138"/>
      <c r="B1335" s="139"/>
      <c r="C1335" s="913" t="s">
        <v>638</v>
      </c>
      <c r="D1335" s="913"/>
      <c r="E1335" s="913"/>
      <c r="F1335" s="913"/>
      <c r="G1335" s="913"/>
      <c r="I1335" s="156"/>
      <c r="J1335" s="156"/>
      <c r="K1335" s="156"/>
      <c r="L1335" s="156"/>
      <c r="M1335" s="156"/>
      <c r="N1335" s="156"/>
      <c r="O1335" s="156"/>
      <c r="P1335" s="156"/>
      <c r="Q1335" s="156"/>
      <c r="R1335" s="156"/>
    </row>
    <row r="1336" spans="1:19" s="140" customFormat="1" ht="26.25" customHeight="1">
      <c r="A1336" s="138"/>
      <c r="B1336" s="139"/>
      <c r="C1336" s="913" t="s">
        <v>639</v>
      </c>
      <c r="D1336" s="913"/>
      <c r="E1336" s="913"/>
      <c r="F1336" s="913"/>
      <c r="G1336" s="913"/>
      <c r="I1336" s="156"/>
      <c r="J1336" s="156"/>
      <c r="K1336" s="156"/>
      <c r="L1336" s="156"/>
      <c r="M1336" s="156"/>
      <c r="N1336" s="156"/>
      <c r="O1336" s="156"/>
      <c r="P1336" s="156"/>
      <c r="Q1336" s="156"/>
      <c r="R1336" s="156"/>
    </row>
    <row r="1337" spans="1:19" s="140" customFormat="1" ht="35.25" customHeight="1">
      <c r="A1337" s="138"/>
      <c r="B1337" s="139"/>
      <c r="C1337" s="913" t="s">
        <v>640</v>
      </c>
      <c r="D1337" s="913"/>
      <c r="E1337" s="913"/>
      <c r="F1337" s="913"/>
      <c r="G1337" s="913"/>
      <c r="I1337" s="156"/>
      <c r="J1337" s="156"/>
      <c r="K1337" s="156"/>
      <c r="L1337" s="156"/>
      <c r="M1337" s="156"/>
      <c r="N1337" s="156"/>
      <c r="O1337" s="156"/>
      <c r="P1337" s="156"/>
      <c r="Q1337" s="156"/>
      <c r="R1337" s="156"/>
    </row>
    <row r="1338" spans="1:19" s="140" customFormat="1" ht="33" customHeight="1">
      <c r="A1338" s="138"/>
      <c r="B1338" s="139"/>
      <c r="C1338" s="913" t="s">
        <v>641</v>
      </c>
      <c r="D1338" s="913"/>
      <c r="E1338" s="913"/>
      <c r="F1338" s="913"/>
      <c r="G1338" s="913"/>
      <c r="I1338" s="137" t="s">
        <v>648</v>
      </c>
      <c r="J1338" s="137"/>
      <c r="K1338" s="137"/>
      <c r="L1338" s="137"/>
      <c r="M1338" s="137"/>
      <c r="N1338" s="137"/>
      <c r="O1338" s="137"/>
      <c r="P1338" s="137"/>
      <c r="Q1338" s="137"/>
      <c r="R1338" s="137"/>
      <c r="S1338" s="137"/>
    </row>
    <row r="1339" spans="1:19" s="140" customFormat="1" ht="27.75" customHeight="1">
      <c r="A1339" s="138"/>
      <c r="B1339" s="139"/>
      <c r="C1339" s="913" t="s">
        <v>642</v>
      </c>
      <c r="D1339" s="913"/>
      <c r="E1339" s="913"/>
      <c r="F1339" s="913"/>
      <c r="G1339" s="913"/>
      <c r="I1339" s="137"/>
      <c r="J1339" s="137"/>
      <c r="K1339" s="137"/>
      <c r="L1339" s="137"/>
      <c r="M1339" s="137"/>
      <c r="N1339" s="137"/>
      <c r="O1339" s="137"/>
      <c r="P1339" s="137"/>
      <c r="Q1339" s="137"/>
      <c r="R1339" s="137"/>
      <c r="S1339" s="137"/>
    </row>
    <row r="1340" spans="1:19" s="140" customFormat="1" ht="27.75" customHeight="1">
      <c r="A1340" s="138"/>
      <c r="B1340" s="139"/>
      <c r="C1340" s="913" t="s">
        <v>643</v>
      </c>
      <c r="D1340" s="913"/>
      <c r="E1340" s="913"/>
      <c r="F1340" s="913"/>
      <c r="G1340" s="913"/>
      <c r="I1340" s="137"/>
      <c r="J1340" s="137"/>
      <c r="K1340" s="137"/>
      <c r="L1340" s="137"/>
      <c r="M1340" s="137"/>
      <c r="N1340" s="137"/>
      <c r="O1340" s="137"/>
      <c r="P1340" s="137"/>
      <c r="Q1340" s="137"/>
      <c r="R1340" s="137"/>
      <c r="S1340" s="137"/>
    </row>
    <row r="1341" spans="1:19" s="140" customFormat="1" ht="37.5" customHeight="1">
      <c r="A1341" s="138"/>
      <c r="B1341" s="139"/>
      <c r="C1341" s="913" t="s">
        <v>644</v>
      </c>
      <c r="D1341" s="913"/>
      <c r="E1341" s="913"/>
      <c r="F1341" s="913"/>
      <c r="G1341" s="913"/>
      <c r="I1341" s="137"/>
      <c r="J1341" s="137"/>
      <c r="K1341" s="137"/>
      <c r="L1341" s="137"/>
      <c r="M1341" s="137"/>
      <c r="N1341" s="137"/>
      <c r="O1341" s="137"/>
      <c r="P1341" s="137"/>
      <c r="Q1341" s="137"/>
      <c r="R1341" s="137"/>
      <c r="S1341" s="137"/>
    </row>
    <row r="1342" spans="1:19" s="140" customFormat="1" ht="27.75" customHeight="1">
      <c r="A1342" s="138"/>
      <c r="B1342" s="139"/>
      <c r="C1342" s="913" t="s">
        <v>645</v>
      </c>
      <c r="D1342" s="913"/>
      <c r="E1342" s="913"/>
      <c r="F1342" s="913"/>
      <c r="G1342" s="913"/>
      <c r="I1342" s="137"/>
      <c r="J1342" s="137"/>
      <c r="K1342" s="137"/>
      <c r="L1342" s="137"/>
      <c r="M1342" s="137"/>
      <c r="N1342" s="137"/>
      <c r="O1342" s="137"/>
      <c r="P1342" s="137"/>
      <c r="Q1342" s="137"/>
      <c r="R1342" s="137"/>
      <c r="S1342" s="137"/>
    </row>
    <row r="1343" spans="1:19" s="140" customFormat="1" ht="27" customHeight="1">
      <c r="A1343" s="138"/>
      <c r="B1343" s="139"/>
      <c r="C1343" s="913" t="s">
        <v>646</v>
      </c>
      <c r="D1343" s="913"/>
      <c r="E1343" s="913"/>
      <c r="F1343" s="913"/>
      <c r="G1343" s="913"/>
      <c r="I1343" s="137"/>
      <c r="J1343" s="137"/>
      <c r="K1343" s="137"/>
      <c r="L1343" s="137"/>
      <c r="M1343" s="137"/>
      <c r="N1343" s="137"/>
      <c r="O1343" s="137"/>
      <c r="P1343" s="137"/>
      <c r="Q1343" s="137"/>
      <c r="R1343" s="137"/>
      <c r="S1343" s="137"/>
    </row>
    <row r="1344" spans="1:19" ht="11.25" customHeight="1">
      <c r="B1344" s="146"/>
      <c r="C1344" s="912"/>
      <c r="D1344" s="912"/>
      <c r="E1344" s="912"/>
      <c r="F1344" s="912"/>
      <c r="G1344" s="912"/>
      <c r="I1344" s="133"/>
      <c r="J1344" s="133"/>
      <c r="K1344" s="133"/>
      <c r="L1344" s="133"/>
      <c r="M1344" s="133"/>
      <c r="N1344" s="133"/>
      <c r="O1344" s="133"/>
      <c r="P1344" s="133"/>
      <c r="Q1344" s="133"/>
      <c r="R1344" s="133"/>
      <c r="S1344" s="133"/>
    </row>
    <row r="1345" spans="1:19" s="140" customFormat="1" ht="21.75" customHeight="1">
      <c r="A1345" s="138"/>
      <c r="B1345" s="139"/>
      <c r="C1345" s="913" t="s">
        <v>647</v>
      </c>
      <c r="D1345" s="913"/>
      <c r="E1345" s="913"/>
      <c r="F1345" s="913"/>
      <c r="G1345" s="913"/>
      <c r="I1345" s="137"/>
      <c r="J1345" s="137"/>
      <c r="K1345" s="137"/>
      <c r="L1345" s="137"/>
      <c r="M1345" s="137"/>
      <c r="N1345" s="137"/>
      <c r="O1345" s="137"/>
      <c r="P1345" s="137"/>
      <c r="Q1345" s="137"/>
      <c r="R1345" s="137"/>
      <c r="S1345" s="137"/>
    </row>
    <row r="1346" spans="1:19" s="140" customFormat="1" ht="27.75" customHeight="1">
      <c r="A1346" s="138"/>
      <c r="B1346" s="139"/>
      <c r="C1346" s="913" t="s">
        <v>649</v>
      </c>
      <c r="D1346" s="913"/>
      <c r="E1346" s="913"/>
      <c r="F1346" s="913"/>
      <c r="G1346" s="913"/>
      <c r="I1346" s="137"/>
      <c r="J1346" s="137"/>
      <c r="K1346" s="137"/>
      <c r="L1346" s="137"/>
      <c r="M1346" s="137"/>
      <c r="N1346" s="137"/>
      <c r="O1346" s="137"/>
      <c r="P1346" s="137"/>
      <c r="Q1346" s="137"/>
      <c r="R1346" s="137"/>
      <c r="S1346" s="137"/>
    </row>
    <row r="1347" spans="1:19" s="140" customFormat="1" ht="27.75" customHeight="1">
      <c r="A1347" s="138"/>
      <c r="B1347" s="139"/>
      <c r="C1347" s="913" t="s">
        <v>650</v>
      </c>
      <c r="D1347" s="913"/>
      <c r="E1347" s="913"/>
      <c r="F1347" s="913"/>
      <c r="G1347" s="913"/>
      <c r="I1347" s="137"/>
      <c r="J1347" s="137"/>
      <c r="K1347" s="137"/>
      <c r="L1347" s="137"/>
      <c r="M1347" s="137"/>
      <c r="N1347" s="137"/>
      <c r="O1347" s="137"/>
      <c r="P1347" s="137"/>
      <c r="Q1347" s="137"/>
      <c r="R1347" s="137"/>
      <c r="S1347" s="137"/>
    </row>
    <row r="1348" spans="1:19" s="140" customFormat="1" ht="27.75" customHeight="1">
      <c r="A1348" s="138"/>
      <c r="B1348" s="139"/>
      <c r="C1348" s="913" t="s">
        <v>651</v>
      </c>
      <c r="D1348" s="913"/>
      <c r="E1348" s="913"/>
      <c r="F1348" s="913"/>
      <c r="G1348" s="913"/>
      <c r="I1348" s="137"/>
      <c r="J1348" s="137"/>
      <c r="K1348" s="137"/>
      <c r="L1348" s="137"/>
      <c r="M1348" s="137"/>
      <c r="N1348" s="137"/>
      <c r="O1348" s="137"/>
      <c r="P1348" s="137"/>
      <c r="Q1348" s="137"/>
      <c r="R1348" s="137"/>
      <c r="S1348" s="137"/>
    </row>
    <row r="1349" spans="1:19" s="140" customFormat="1" ht="27.75" customHeight="1">
      <c r="A1349" s="138"/>
      <c r="B1349" s="139"/>
      <c r="C1349" s="913" t="s">
        <v>652</v>
      </c>
      <c r="D1349" s="913"/>
      <c r="E1349" s="913"/>
      <c r="F1349" s="913"/>
      <c r="G1349" s="913"/>
      <c r="I1349" s="137"/>
      <c r="J1349" s="137"/>
      <c r="K1349" s="137"/>
      <c r="L1349" s="137"/>
      <c r="M1349" s="137"/>
      <c r="N1349" s="137"/>
      <c r="O1349" s="137"/>
      <c r="P1349" s="137"/>
      <c r="Q1349" s="137"/>
      <c r="R1349" s="137"/>
      <c r="S1349" s="137"/>
    </row>
    <row r="1350" spans="1:19" s="140" customFormat="1" ht="27.75" customHeight="1">
      <c r="A1350" s="138"/>
      <c r="B1350" s="139"/>
      <c r="C1350" s="913" t="s">
        <v>653</v>
      </c>
      <c r="D1350" s="913"/>
      <c r="E1350" s="913"/>
      <c r="F1350" s="913"/>
      <c r="G1350" s="913"/>
      <c r="I1350" s="137"/>
      <c r="J1350" s="137"/>
      <c r="K1350" s="137"/>
      <c r="L1350" s="137"/>
      <c r="M1350" s="137"/>
      <c r="N1350" s="137"/>
      <c r="O1350" s="137"/>
      <c r="P1350" s="137"/>
      <c r="Q1350" s="137"/>
      <c r="R1350" s="137"/>
      <c r="S1350" s="137"/>
    </row>
    <row r="1351" spans="1:19" s="140" customFormat="1" ht="38.25" customHeight="1">
      <c r="A1351" s="138"/>
      <c r="B1351" s="139"/>
      <c r="C1351" s="913" t="s">
        <v>654</v>
      </c>
      <c r="D1351" s="913"/>
      <c r="E1351" s="913"/>
      <c r="F1351" s="913"/>
      <c r="G1351" s="913"/>
      <c r="I1351" s="137"/>
      <c r="J1351" s="137"/>
      <c r="K1351" s="137"/>
      <c r="L1351" s="137"/>
      <c r="M1351" s="137"/>
      <c r="N1351" s="137"/>
      <c r="O1351" s="137"/>
      <c r="P1351" s="137"/>
      <c r="Q1351" s="137"/>
      <c r="R1351" s="137"/>
      <c r="S1351" s="137"/>
    </row>
    <row r="1352" spans="1:19" s="140" customFormat="1" ht="27.75" customHeight="1">
      <c r="A1352" s="138"/>
      <c r="B1352" s="139"/>
      <c r="C1352" s="913" t="s">
        <v>655</v>
      </c>
      <c r="D1352" s="913"/>
      <c r="E1352" s="913"/>
      <c r="F1352" s="913"/>
      <c r="G1352" s="913"/>
      <c r="I1352" s="137"/>
      <c r="J1352" s="137"/>
      <c r="K1352" s="137"/>
      <c r="L1352" s="137"/>
      <c r="M1352" s="137"/>
      <c r="N1352" s="137"/>
      <c r="O1352" s="137"/>
      <c r="P1352" s="137"/>
      <c r="Q1352" s="137"/>
      <c r="R1352" s="137"/>
      <c r="S1352" s="137"/>
    </row>
    <row r="1353" spans="1:19" s="140" customFormat="1" ht="27.75" customHeight="1">
      <c r="A1353" s="138"/>
      <c r="B1353" s="139"/>
      <c r="C1353" s="913" t="s">
        <v>656</v>
      </c>
      <c r="D1353" s="913"/>
      <c r="E1353" s="913"/>
      <c r="F1353" s="913"/>
      <c r="G1353" s="913"/>
      <c r="I1353" s="137"/>
      <c r="J1353" s="137"/>
      <c r="K1353" s="137"/>
      <c r="L1353" s="137"/>
      <c r="M1353" s="137"/>
      <c r="N1353" s="137"/>
      <c r="O1353" s="137"/>
      <c r="P1353" s="137"/>
      <c r="Q1353" s="137"/>
      <c r="R1353" s="137"/>
      <c r="S1353" s="137"/>
    </row>
    <row r="1354" spans="1:19" s="140" customFormat="1" ht="27.75" customHeight="1">
      <c r="A1354" s="138"/>
      <c r="B1354" s="139"/>
      <c r="C1354" s="913" t="s">
        <v>657</v>
      </c>
      <c r="D1354" s="913"/>
      <c r="E1354" s="913"/>
      <c r="F1354" s="913"/>
      <c r="G1354" s="913"/>
      <c r="I1354" s="137"/>
      <c r="J1354" s="137"/>
      <c r="K1354" s="137"/>
      <c r="L1354" s="137"/>
      <c r="M1354" s="137"/>
      <c r="N1354" s="137"/>
      <c r="O1354" s="137"/>
      <c r="P1354" s="137"/>
      <c r="Q1354" s="137"/>
      <c r="R1354" s="137"/>
      <c r="S1354" s="137"/>
    </row>
    <row r="1355" spans="1:19" s="129" customFormat="1" ht="31.5" customHeight="1">
      <c r="A1355" s="126"/>
      <c r="B1355" s="127"/>
      <c r="C1355" s="899" t="s">
        <v>658</v>
      </c>
      <c r="D1355" s="899"/>
      <c r="E1355" s="899"/>
      <c r="F1355" s="899"/>
      <c r="G1355" s="899"/>
      <c r="I1355" s="136"/>
      <c r="J1355" s="130"/>
      <c r="K1355" s="130"/>
      <c r="L1355" s="130"/>
      <c r="M1355" s="130"/>
      <c r="N1355" s="130"/>
      <c r="O1355" s="130"/>
      <c r="P1355" s="130"/>
      <c r="Q1355" s="130"/>
      <c r="R1355" s="130"/>
    </row>
    <row r="1356" spans="1:19" s="129" customFormat="1" ht="33" customHeight="1">
      <c r="A1356" s="126"/>
      <c r="B1356" s="127"/>
      <c r="C1356" s="899" t="s">
        <v>659</v>
      </c>
      <c r="D1356" s="899"/>
      <c r="E1356" s="899"/>
      <c r="F1356" s="899"/>
      <c r="G1356" s="899"/>
      <c r="I1356" s="136"/>
      <c r="J1356" s="130"/>
      <c r="K1356" s="130"/>
      <c r="L1356" s="130"/>
      <c r="M1356" s="130"/>
      <c r="N1356" s="130"/>
      <c r="O1356" s="130"/>
      <c r="P1356" s="130"/>
      <c r="Q1356" s="130"/>
      <c r="R1356" s="130"/>
    </row>
    <row r="1357" spans="1:19" s="129" customFormat="1" ht="33" customHeight="1">
      <c r="A1357" s="126"/>
      <c r="B1357" s="127"/>
      <c r="C1357" s="899" t="s">
        <v>660</v>
      </c>
      <c r="D1357" s="899"/>
      <c r="E1357" s="899"/>
      <c r="F1357" s="899"/>
      <c r="G1357" s="899"/>
    </row>
    <row r="1358" spans="1:19" s="129" customFormat="1" ht="32.25" customHeight="1">
      <c r="A1358" s="126"/>
      <c r="B1358" s="127"/>
      <c r="C1358" s="899" t="s">
        <v>661</v>
      </c>
      <c r="D1358" s="899"/>
      <c r="E1358" s="899"/>
      <c r="F1358" s="899"/>
      <c r="G1358" s="899"/>
    </row>
    <row r="1359" spans="1:19" s="129" customFormat="1" ht="33" customHeight="1">
      <c r="A1359" s="126"/>
      <c r="B1359" s="127"/>
      <c r="C1359" s="899" t="s">
        <v>662</v>
      </c>
      <c r="D1359" s="899"/>
      <c r="E1359" s="899"/>
      <c r="F1359" s="899"/>
      <c r="G1359" s="899"/>
    </row>
    <row r="1360" spans="1:19" s="129" customFormat="1" ht="32.25" customHeight="1">
      <c r="A1360" s="126"/>
      <c r="B1360" s="127"/>
      <c r="C1360" s="899" t="s">
        <v>663</v>
      </c>
      <c r="D1360" s="899"/>
      <c r="E1360" s="899"/>
      <c r="F1360" s="899"/>
      <c r="G1360" s="899"/>
    </row>
    <row r="1361" spans="1:18" s="129" customFormat="1" ht="33" customHeight="1">
      <c r="A1361" s="126"/>
      <c r="B1361" s="127"/>
      <c r="C1361" s="899" t="s">
        <v>664</v>
      </c>
      <c r="D1361" s="899"/>
      <c r="E1361" s="899"/>
      <c r="F1361" s="899"/>
      <c r="G1361" s="899"/>
    </row>
    <row r="1362" spans="1:18" s="21" customFormat="1" ht="14.25" customHeight="1">
      <c r="A1362" s="145"/>
      <c r="B1362" s="146"/>
      <c r="C1362" s="912"/>
      <c r="D1362" s="912"/>
      <c r="E1362" s="912"/>
      <c r="F1362" s="912"/>
      <c r="G1362" s="912"/>
    </row>
    <row r="1363" spans="1:18" s="129" customFormat="1">
      <c r="A1363" s="126"/>
      <c r="B1363" s="127"/>
      <c r="C1363" s="899" t="s">
        <v>82</v>
      </c>
      <c r="D1363" s="899"/>
      <c r="E1363" s="899"/>
      <c r="F1363" s="899"/>
      <c r="G1363" s="899"/>
      <c r="I1363" s="136"/>
      <c r="J1363" s="136"/>
      <c r="K1363" s="136"/>
      <c r="L1363" s="136"/>
      <c r="M1363" s="136"/>
      <c r="N1363" s="136"/>
      <c r="O1363" s="136"/>
      <c r="P1363" s="136"/>
      <c r="Q1363" s="136"/>
      <c r="R1363" s="136"/>
    </row>
    <row r="1364" spans="1:18" s="129" customFormat="1" ht="51" customHeight="1">
      <c r="A1364" s="126"/>
      <c r="B1364" s="302"/>
      <c r="C1364" s="899" t="s">
        <v>665</v>
      </c>
      <c r="D1364" s="899"/>
      <c r="E1364" s="899"/>
      <c r="F1364" s="899"/>
      <c r="G1364" s="899"/>
      <c r="I1364" s="136"/>
      <c r="J1364" s="915"/>
      <c r="K1364" s="915"/>
      <c r="L1364" s="915"/>
      <c r="M1364" s="915"/>
      <c r="N1364" s="915"/>
      <c r="O1364" s="915"/>
      <c r="P1364" s="915"/>
      <c r="Q1364" s="915"/>
      <c r="R1364" s="915"/>
    </row>
    <row r="1365" spans="1:18" s="129" customFormat="1" ht="47.25" customHeight="1">
      <c r="A1365" s="126"/>
      <c r="B1365" s="302"/>
      <c r="C1365" s="899" t="s">
        <v>666</v>
      </c>
      <c r="D1365" s="899"/>
      <c r="E1365" s="899"/>
      <c r="F1365" s="899"/>
      <c r="G1365" s="899"/>
      <c r="I1365" s="136"/>
      <c r="J1365" s="915"/>
      <c r="K1365" s="915"/>
      <c r="L1365" s="915"/>
      <c r="M1365" s="915"/>
      <c r="N1365" s="915"/>
      <c r="O1365" s="915"/>
      <c r="P1365" s="915"/>
      <c r="Q1365" s="915"/>
      <c r="R1365" s="915"/>
    </row>
    <row r="1366" spans="1:18" s="140" customFormat="1" ht="69" customHeight="1">
      <c r="A1366" s="138"/>
      <c r="B1366" s="303"/>
      <c r="C1366" s="913" t="s">
        <v>667</v>
      </c>
      <c r="D1366" s="913"/>
      <c r="E1366" s="913"/>
      <c r="F1366" s="913"/>
      <c r="G1366" s="913"/>
      <c r="I1366" s="156"/>
      <c r="J1366" s="156"/>
      <c r="K1366" s="156"/>
      <c r="L1366" s="156"/>
      <c r="M1366" s="156"/>
      <c r="N1366" s="156"/>
      <c r="O1366" s="156"/>
      <c r="P1366" s="156"/>
      <c r="Q1366" s="156"/>
      <c r="R1366" s="156"/>
    </row>
    <row r="1367" spans="1:18" s="140" customFormat="1" ht="18" customHeight="1">
      <c r="A1367" s="138"/>
      <c r="B1367" s="303"/>
      <c r="C1367" s="913" t="s">
        <v>668</v>
      </c>
      <c r="D1367" s="913"/>
      <c r="E1367" s="913"/>
      <c r="F1367" s="913"/>
      <c r="G1367" s="304"/>
      <c r="I1367" s="156"/>
      <c r="J1367" s="156"/>
      <c r="K1367" s="156"/>
      <c r="L1367" s="156"/>
      <c r="M1367" s="156"/>
      <c r="N1367" s="156"/>
      <c r="O1367" s="156"/>
      <c r="P1367" s="156"/>
      <c r="Q1367" s="156"/>
      <c r="R1367" s="156"/>
    </row>
    <row r="1368" spans="1:18" s="140" customFormat="1" ht="13.5">
      <c r="A1368" s="138"/>
      <c r="B1368" s="303"/>
      <c r="C1368" s="913" t="s">
        <v>669</v>
      </c>
      <c r="D1368" s="913"/>
      <c r="E1368" s="913"/>
      <c r="F1368" s="913"/>
      <c r="G1368" s="304"/>
    </row>
    <row r="1369" spans="1:18" s="140" customFormat="1" ht="32.25" customHeight="1">
      <c r="A1369" s="138"/>
      <c r="B1369" s="303"/>
      <c r="C1369" s="914" t="s">
        <v>817</v>
      </c>
      <c r="D1369" s="914"/>
      <c r="E1369" s="914"/>
      <c r="F1369" s="914"/>
      <c r="G1369" s="914"/>
    </row>
    <row r="1370" spans="1:18" ht="14.25" customHeight="1">
      <c r="B1370" s="146"/>
      <c r="C1370" s="123"/>
      <c r="D1370" s="123"/>
      <c r="E1370" s="124"/>
      <c r="F1370" s="125"/>
      <c r="G1370" s="125"/>
    </row>
    <row r="1371" spans="1:18" s="140" customFormat="1">
      <c r="A1371" s="138"/>
      <c r="B1371" s="139"/>
      <c r="C1371" s="913" t="s">
        <v>670</v>
      </c>
      <c r="D1371" s="913"/>
      <c r="E1371" s="913"/>
      <c r="F1371" s="913"/>
      <c r="G1371" s="913"/>
    </row>
    <row r="1372" spans="1:18" s="140" customFormat="1">
      <c r="A1372" s="138"/>
      <c r="B1372" s="139"/>
      <c r="C1372" s="913" t="s">
        <v>671</v>
      </c>
      <c r="D1372" s="913"/>
      <c r="E1372" s="913"/>
      <c r="F1372" s="913"/>
      <c r="G1372" s="913"/>
    </row>
    <row r="1373" spans="1:18" s="140" customFormat="1" ht="55.5" customHeight="1">
      <c r="A1373" s="138"/>
      <c r="B1373" s="139"/>
      <c r="C1373" s="913" t="s">
        <v>672</v>
      </c>
      <c r="D1373" s="913"/>
      <c r="E1373" s="913"/>
      <c r="F1373" s="913"/>
      <c r="G1373" s="913"/>
    </row>
    <row r="1374" spans="1:18" s="140" customFormat="1" ht="32.25" customHeight="1">
      <c r="A1374" s="138"/>
      <c r="B1374" s="139"/>
      <c r="C1374" s="913" t="s">
        <v>673</v>
      </c>
      <c r="D1374" s="913"/>
      <c r="E1374" s="913"/>
      <c r="F1374" s="913"/>
      <c r="G1374" s="913"/>
    </row>
    <row r="1375" spans="1:18">
      <c r="B1375" s="146"/>
      <c r="C1375" s="912"/>
      <c r="D1375" s="912"/>
      <c r="E1375" s="912"/>
      <c r="F1375" s="912"/>
      <c r="G1375" s="912"/>
    </row>
    <row r="1376" spans="1:18" s="129" customFormat="1" ht="18" customHeight="1">
      <c r="A1376" s="126"/>
      <c r="B1376" s="127"/>
      <c r="C1376" s="899" t="s">
        <v>674</v>
      </c>
      <c r="D1376" s="899"/>
      <c r="E1376" s="899"/>
      <c r="F1376" s="899"/>
      <c r="G1376" s="899"/>
    </row>
    <row r="1377" spans="1:18" s="129" customFormat="1" ht="70.5" customHeight="1">
      <c r="A1377" s="126"/>
      <c r="B1377" s="127"/>
      <c r="C1377" s="899" t="s">
        <v>675</v>
      </c>
      <c r="D1377" s="899"/>
      <c r="E1377" s="899"/>
      <c r="F1377" s="899"/>
      <c r="G1377" s="899"/>
    </row>
    <row r="1378" spans="1:18" s="129" customFormat="1" ht="35.25" customHeight="1">
      <c r="A1378" s="126"/>
      <c r="B1378" s="127"/>
      <c r="C1378" s="899" t="s">
        <v>676</v>
      </c>
      <c r="D1378" s="899"/>
      <c r="E1378" s="899"/>
      <c r="F1378" s="899"/>
      <c r="G1378" s="899"/>
      <c r="I1378" s="136"/>
      <c r="J1378" s="136"/>
      <c r="K1378" s="136"/>
      <c r="L1378" s="136"/>
      <c r="M1378" s="136"/>
      <c r="N1378" s="136"/>
      <c r="O1378" s="136"/>
      <c r="P1378" s="136"/>
      <c r="Q1378" s="136"/>
      <c r="R1378" s="136"/>
    </row>
    <row r="1379" spans="1:18" s="129" customFormat="1" ht="27.75" customHeight="1">
      <c r="A1379" s="126"/>
      <c r="B1379" s="127"/>
      <c r="C1379" s="899" t="s">
        <v>677</v>
      </c>
      <c r="D1379" s="899"/>
      <c r="E1379" s="899"/>
      <c r="F1379" s="899"/>
      <c r="G1379" s="899"/>
      <c r="I1379" s="136"/>
      <c r="J1379" s="136"/>
      <c r="K1379" s="136"/>
      <c r="L1379" s="136"/>
      <c r="M1379" s="136"/>
      <c r="N1379" s="136"/>
      <c r="O1379" s="136"/>
      <c r="P1379" s="136"/>
      <c r="Q1379" s="136"/>
      <c r="R1379" s="136"/>
    </row>
    <row r="1380" spans="1:18" s="129" customFormat="1" ht="39" customHeight="1">
      <c r="A1380" s="126"/>
      <c r="B1380" s="127"/>
      <c r="C1380" s="899" t="s">
        <v>678</v>
      </c>
      <c r="D1380" s="899"/>
      <c r="E1380" s="899"/>
      <c r="F1380" s="899"/>
      <c r="G1380" s="899"/>
      <c r="I1380" s="136"/>
      <c r="J1380" s="136"/>
      <c r="K1380" s="136"/>
      <c r="L1380" s="136"/>
      <c r="M1380" s="136"/>
      <c r="N1380" s="136"/>
      <c r="O1380" s="136"/>
      <c r="P1380" s="136"/>
      <c r="Q1380" s="136"/>
      <c r="R1380" s="136"/>
    </row>
    <row r="1381" spans="1:18" s="129" customFormat="1" ht="45" customHeight="1">
      <c r="A1381" s="126"/>
      <c r="B1381" s="127"/>
      <c r="C1381" s="899" t="s">
        <v>679</v>
      </c>
      <c r="D1381" s="899"/>
      <c r="E1381" s="899"/>
      <c r="F1381" s="899"/>
      <c r="G1381" s="899"/>
      <c r="I1381" s="136"/>
      <c r="J1381" s="136"/>
      <c r="K1381" s="136"/>
      <c r="L1381" s="136"/>
      <c r="M1381" s="136"/>
      <c r="N1381" s="136"/>
      <c r="O1381" s="136"/>
      <c r="P1381" s="136"/>
      <c r="Q1381" s="136"/>
      <c r="R1381" s="136"/>
    </row>
    <row r="1382" spans="1:18" s="129" customFormat="1" ht="48" customHeight="1">
      <c r="A1382" s="126"/>
      <c r="B1382" s="127"/>
      <c r="C1382" s="899" t="s">
        <v>680</v>
      </c>
      <c r="D1382" s="899"/>
      <c r="E1382" s="899"/>
      <c r="F1382" s="899"/>
      <c r="G1382" s="899"/>
      <c r="I1382" s="136"/>
      <c r="J1382" s="136"/>
      <c r="K1382" s="136"/>
      <c r="L1382" s="136"/>
      <c r="M1382" s="136"/>
      <c r="N1382" s="136"/>
      <c r="O1382" s="136"/>
      <c r="P1382" s="136"/>
      <c r="Q1382" s="136"/>
      <c r="R1382" s="136"/>
    </row>
    <row r="1383" spans="1:18" s="129" customFormat="1" ht="31.5" customHeight="1">
      <c r="A1383" s="126"/>
      <c r="B1383" s="127"/>
      <c r="C1383" s="899" t="s">
        <v>681</v>
      </c>
      <c r="D1383" s="899"/>
      <c r="E1383" s="899"/>
      <c r="F1383" s="899"/>
      <c r="G1383" s="899"/>
      <c r="I1383" s="136"/>
      <c r="J1383" s="136"/>
      <c r="K1383" s="136"/>
      <c r="L1383" s="136"/>
      <c r="M1383" s="136"/>
      <c r="N1383" s="136"/>
      <c r="O1383" s="136"/>
      <c r="P1383" s="136"/>
      <c r="Q1383" s="136"/>
      <c r="R1383" s="136"/>
    </row>
    <row r="1384" spans="1:18" s="129" customFormat="1" ht="24.75" customHeight="1">
      <c r="A1384" s="126"/>
      <c r="B1384" s="127"/>
      <c r="C1384" s="899" t="s">
        <v>682</v>
      </c>
      <c r="D1384" s="899"/>
      <c r="E1384" s="899"/>
      <c r="F1384" s="899"/>
      <c r="G1384" s="899"/>
      <c r="I1384" s="136"/>
      <c r="J1384" s="136"/>
      <c r="K1384" s="136"/>
      <c r="L1384" s="136"/>
      <c r="M1384" s="136"/>
      <c r="N1384" s="136"/>
      <c r="O1384" s="136"/>
      <c r="P1384" s="136"/>
      <c r="Q1384" s="136"/>
      <c r="R1384" s="136"/>
    </row>
    <row r="1385" spans="1:18" s="21" customFormat="1">
      <c r="A1385" s="145"/>
      <c r="B1385" s="146"/>
      <c r="C1385" s="912"/>
      <c r="D1385" s="912"/>
      <c r="E1385" s="912"/>
      <c r="F1385" s="912"/>
      <c r="G1385" s="912"/>
      <c r="I1385" s="134"/>
      <c r="J1385" s="134"/>
      <c r="K1385" s="134"/>
      <c r="L1385" s="134"/>
      <c r="M1385" s="134"/>
      <c r="N1385" s="134"/>
      <c r="O1385" s="134"/>
      <c r="P1385" s="134"/>
      <c r="Q1385" s="134"/>
      <c r="R1385" s="134"/>
    </row>
    <row r="1386" spans="1:18" s="129" customFormat="1" ht="33" customHeight="1">
      <c r="A1386" s="126"/>
      <c r="B1386" s="127"/>
      <c r="C1386" s="899" t="s">
        <v>683</v>
      </c>
      <c r="D1386" s="899"/>
      <c r="E1386" s="899"/>
      <c r="F1386" s="899"/>
      <c r="G1386" s="899"/>
      <c r="I1386" s="136"/>
      <c r="J1386" s="136"/>
      <c r="K1386" s="136"/>
      <c r="L1386" s="136"/>
      <c r="M1386" s="136"/>
      <c r="N1386" s="136"/>
      <c r="O1386" s="136"/>
      <c r="P1386" s="136"/>
      <c r="Q1386" s="136"/>
      <c r="R1386" s="136"/>
    </row>
    <row r="1387" spans="1:18" s="129" customFormat="1" ht="47.25" customHeight="1">
      <c r="A1387" s="126"/>
      <c r="B1387" s="127"/>
      <c r="C1387" s="899" t="s">
        <v>1150</v>
      </c>
      <c r="D1387" s="899"/>
      <c r="E1387" s="899"/>
      <c r="F1387" s="899"/>
      <c r="G1387" s="899"/>
      <c r="I1387" s="136"/>
      <c r="J1387" s="136"/>
      <c r="K1387" s="136"/>
      <c r="L1387" s="136"/>
      <c r="M1387" s="136"/>
      <c r="N1387" s="136"/>
      <c r="O1387" s="136"/>
      <c r="P1387" s="136"/>
      <c r="Q1387" s="136"/>
      <c r="R1387" s="136"/>
    </row>
    <row r="1388" spans="1:18" s="129" customFormat="1" ht="22.5" customHeight="1">
      <c r="A1388" s="126"/>
      <c r="B1388" s="127"/>
      <c r="C1388" s="899" t="s">
        <v>684</v>
      </c>
      <c r="D1388" s="899"/>
      <c r="E1388" s="899"/>
      <c r="F1388" s="899"/>
      <c r="G1388" s="899"/>
      <c r="I1388" s="136"/>
      <c r="J1388" s="136"/>
      <c r="K1388" s="136"/>
      <c r="L1388" s="136"/>
      <c r="M1388" s="136"/>
      <c r="N1388" s="136"/>
      <c r="O1388" s="136"/>
      <c r="P1388" s="136"/>
      <c r="Q1388" s="136"/>
      <c r="R1388" s="136"/>
    </row>
    <row r="1389" spans="1:18" s="129" customFormat="1" ht="35.25" customHeight="1">
      <c r="A1389" s="126"/>
      <c r="B1389" s="127"/>
      <c r="C1389" s="899" t="s">
        <v>685</v>
      </c>
      <c r="D1389" s="899"/>
      <c r="E1389" s="899"/>
      <c r="F1389" s="899"/>
      <c r="G1389" s="899"/>
      <c r="I1389" s="136"/>
      <c r="J1389" s="136"/>
      <c r="K1389" s="136"/>
      <c r="L1389" s="136"/>
      <c r="M1389" s="136"/>
      <c r="N1389" s="136"/>
      <c r="O1389" s="136"/>
      <c r="P1389" s="136"/>
      <c r="Q1389" s="136"/>
      <c r="R1389" s="136"/>
    </row>
    <row r="1390" spans="1:18" s="129" customFormat="1" ht="43.5" customHeight="1">
      <c r="A1390" s="126"/>
      <c r="B1390" s="127"/>
      <c r="C1390" s="899" t="s">
        <v>686</v>
      </c>
      <c r="D1390" s="899"/>
      <c r="E1390" s="899"/>
      <c r="F1390" s="899"/>
      <c r="G1390" s="899"/>
      <c r="I1390" s="136"/>
      <c r="J1390" s="136"/>
      <c r="K1390" s="136"/>
      <c r="L1390" s="136"/>
      <c r="M1390" s="136"/>
      <c r="N1390" s="136"/>
      <c r="O1390" s="136"/>
      <c r="P1390" s="136"/>
      <c r="Q1390" s="136"/>
      <c r="R1390" s="136"/>
    </row>
    <row r="1391" spans="1:18" s="129" customFormat="1" ht="35.25" customHeight="1">
      <c r="A1391" s="126"/>
      <c r="B1391" s="127"/>
      <c r="C1391" s="899" t="s">
        <v>687</v>
      </c>
      <c r="D1391" s="899"/>
      <c r="E1391" s="899"/>
      <c r="F1391" s="899"/>
      <c r="G1391" s="899"/>
      <c r="I1391" s="136"/>
      <c r="J1391" s="136"/>
      <c r="K1391" s="136"/>
      <c r="L1391" s="136"/>
      <c r="M1391" s="136"/>
      <c r="N1391" s="136"/>
      <c r="O1391" s="136"/>
      <c r="P1391" s="136"/>
      <c r="Q1391" s="136"/>
      <c r="R1391" s="136"/>
    </row>
    <row r="1392" spans="1:18" s="129" customFormat="1">
      <c r="A1392" s="126"/>
      <c r="B1392" s="127"/>
      <c r="C1392" s="899"/>
      <c r="D1392" s="899"/>
      <c r="E1392" s="899"/>
      <c r="F1392" s="899"/>
      <c r="G1392" s="899"/>
      <c r="I1392" s="136"/>
      <c r="J1392" s="136"/>
      <c r="K1392" s="136"/>
      <c r="L1392" s="136"/>
      <c r="M1392" s="136"/>
      <c r="N1392" s="136"/>
      <c r="O1392" s="136"/>
      <c r="P1392" s="136"/>
      <c r="Q1392" s="136"/>
      <c r="R1392" s="136"/>
    </row>
    <row r="1393" spans="1:18" s="129" customFormat="1" ht="28.5" customHeight="1">
      <c r="A1393" s="126"/>
      <c r="B1393" s="127"/>
      <c r="C1393" s="899" t="s">
        <v>688</v>
      </c>
      <c r="D1393" s="899"/>
      <c r="E1393" s="899"/>
      <c r="F1393" s="899"/>
      <c r="G1393" s="899"/>
      <c r="I1393" s="136"/>
      <c r="J1393" s="136"/>
      <c r="K1393" s="136"/>
      <c r="L1393" s="136"/>
      <c r="M1393" s="136"/>
      <c r="N1393" s="136"/>
      <c r="O1393" s="136"/>
      <c r="P1393" s="136"/>
      <c r="Q1393" s="136"/>
      <c r="R1393" s="136"/>
    </row>
    <row r="1394" spans="1:18" s="21" customFormat="1">
      <c r="A1394" s="121"/>
      <c r="B1394" s="122"/>
      <c r="C1394" s="123"/>
      <c r="D1394" s="123"/>
      <c r="E1394" s="124"/>
      <c r="F1394" s="125"/>
      <c r="G1394" s="125"/>
      <c r="I1394" s="134"/>
      <c r="J1394" s="134"/>
      <c r="K1394" s="134"/>
      <c r="L1394" s="134"/>
      <c r="M1394" s="134"/>
      <c r="N1394" s="134"/>
      <c r="O1394" s="134"/>
      <c r="P1394" s="134"/>
      <c r="Q1394" s="134"/>
      <c r="R1394" s="134"/>
    </row>
    <row r="1395" spans="1:18" s="129" customFormat="1" ht="21.75" customHeight="1">
      <c r="A1395" s="126"/>
      <c r="B1395" s="127"/>
      <c r="C1395" s="899" t="s">
        <v>618</v>
      </c>
      <c r="D1395" s="899"/>
      <c r="E1395" s="899"/>
      <c r="F1395" s="899"/>
      <c r="G1395" s="899"/>
      <c r="I1395" s="136"/>
      <c r="J1395" s="136"/>
      <c r="K1395" s="136"/>
      <c r="L1395" s="136"/>
      <c r="M1395" s="136"/>
      <c r="N1395" s="136"/>
      <c r="O1395" s="136"/>
      <c r="P1395" s="136"/>
      <c r="Q1395" s="136"/>
      <c r="R1395" s="136"/>
    </row>
    <row r="1396" spans="1:18" s="129" customFormat="1" ht="45" customHeight="1">
      <c r="A1396" s="126"/>
      <c r="B1396" s="127" t="s">
        <v>140</v>
      </c>
      <c r="C1396" s="899" t="s">
        <v>689</v>
      </c>
      <c r="D1396" s="899"/>
      <c r="E1396" s="899"/>
      <c r="F1396" s="899"/>
      <c r="G1396" s="899"/>
      <c r="I1396" s="136"/>
      <c r="J1396" s="136"/>
      <c r="K1396" s="136"/>
      <c r="L1396" s="136"/>
      <c r="M1396" s="136"/>
      <c r="N1396" s="136"/>
      <c r="O1396" s="136"/>
      <c r="P1396" s="136"/>
      <c r="Q1396" s="136"/>
      <c r="R1396" s="136"/>
    </row>
    <row r="1397" spans="1:18" s="129" customFormat="1" ht="17.25" customHeight="1">
      <c r="A1397" s="126"/>
      <c r="B1397" s="127" t="s">
        <v>140</v>
      </c>
      <c r="C1397" s="899" t="s">
        <v>690</v>
      </c>
      <c r="D1397" s="899"/>
      <c r="E1397" s="899"/>
      <c r="F1397" s="899"/>
      <c r="G1397" s="899"/>
      <c r="I1397" s="136"/>
      <c r="J1397" s="136"/>
      <c r="K1397" s="136"/>
      <c r="L1397" s="136"/>
      <c r="M1397" s="136"/>
      <c r="N1397" s="136"/>
      <c r="O1397" s="136"/>
      <c r="P1397" s="136"/>
      <c r="Q1397" s="136"/>
      <c r="R1397" s="136"/>
    </row>
    <row r="1398" spans="1:18" s="129" customFormat="1" ht="36.75" customHeight="1">
      <c r="A1398" s="126"/>
      <c r="B1398" s="127" t="s">
        <v>140</v>
      </c>
      <c r="C1398" s="899" t="s">
        <v>691</v>
      </c>
      <c r="D1398" s="899"/>
      <c r="E1398" s="899"/>
      <c r="F1398" s="899"/>
      <c r="G1398" s="899"/>
      <c r="I1398" s="136"/>
      <c r="J1398" s="136"/>
      <c r="K1398" s="136"/>
      <c r="L1398" s="136"/>
      <c r="M1398" s="136"/>
      <c r="N1398" s="136"/>
      <c r="O1398" s="136"/>
      <c r="P1398" s="136"/>
      <c r="Q1398" s="136"/>
      <c r="R1398" s="136"/>
    </row>
    <row r="1399" spans="1:18" s="129" customFormat="1" ht="16.5" customHeight="1">
      <c r="A1399" s="126"/>
      <c r="B1399" s="127" t="s">
        <v>140</v>
      </c>
      <c r="C1399" s="899" t="s">
        <v>692</v>
      </c>
      <c r="D1399" s="899"/>
      <c r="E1399" s="899"/>
      <c r="F1399" s="899"/>
      <c r="G1399" s="899"/>
      <c r="I1399" s="136"/>
      <c r="J1399" s="136"/>
      <c r="K1399" s="136"/>
      <c r="L1399" s="136"/>
      <c r="M1399" s="136"/>
      <c r="N1399" s="136"/>
      <c r="O1399" s="136"/>
      <c r="P1399" s="136"/>
      <c r="Q1399" s="136"/>
      <c r="R1399" s="136"/>
    </row>
    <row r="1400" spans="1:18" s="129" customFormat="1" ht="45.75" customHeight="1">
      <c r="A1400" s="126"/>
      <c r="B1400" s="127" t="s">
        <v>140</v>
      </c>
      <c r="C1400" s="899" t="s">
        <v>693</v>
      </c>
      <c r="D1400" s="899"/>
      <c r="E1400" s="899"/>
      <c r="F1400" s="899"/>
      <c r="G1400" s="899"/>
      <c r="I1400" s="136"/>
      <c r="J1400" s="136"/>
      <c r="K1400" s="136"/>
      <c r="L1400" s="136"/>
      <c r="M1400" s="136"/>
      <c r="N1400" s="136"/>
      <c r="O1400" s="136"/>
      <c r="P1400" s="136"/>
      <c r="Q1400" s="136"/>
      <c r="R1400" s="136"/>
    </row>
    <row r="1401" spans="1:18" s="49" customFormat="1" ht="19.5" customHeight="1">
      <c r="A1401" s="126"/>
      <c r="B1401" s="127" t="s">
        <v>140</v>
      </c>
      <c r="C1401" s="899" t="s">
        <v>694</v>
      </c>
      <c r="D1401" s="899"/>
      <c r="E1401" s="899"/>
      <c r="F1401" s="899"/>
      <c r="G1401" s="899"/>
    </row>
    <row r="1402" spans="1:18" s="49" customFormat="1" ht="19.5" customHeight="1">
      <c r="A1402" s="126"/>
      <c r="B1402" s="127" t="s">
        <v>140</v>
      </c>
      <c r="C1402" s="899" t="s">
        <v>695</v>
      </c>
      <c r="D1402" s="899"/>
      <c r="E1402" s="899"/>
      <c r="F1402" s="899"/>
      <c r="G1402" s="899"/>
      <c r="I1402" s="212"/>
      <c r="J1402" s="212"/>
      <c r="K1402" s="212"/>
      <c r="L1402" s="212"/>
      <c r="M1402" s="212"/>
      <c r="N1402" s="212"/>
      <c r="O1402" s="212"/>
      <c r="P1402" s="212"/>
    </row>
    <row r="1403" spans="1:18" s="49" customFormat="1" ht="18" customHeight="1">
      <c r="A1403" s="126"/>
      <c r="B1403" s="127" t="s">
        <v>140</v>
      </c>
      <c r="C1403" s="899" t="s">
        <v>696</v>
      </c>
      <c r="D1403" s="899"/>
      <c r="E1403" s="899"/>
      <c r="F1403" s="899"/>
      <c r="G1403" s="899"/>
      <c r="I1403" s="212"/>
      <c r="J1403" s="212"/>
      <c r="K1403" s="212"/>
      <c r="L1403" s="212"/>
      <c r="M1403" s="212"/>
      <c r="N1403" s="212"/>
      <c r="O1403" s="212"/>
      <c r="P1403" s="212"/>
    </row>
    <row r="1404" spans="1:18" s="49" customFormat="1" ht="20.25" customHeight="1">
      <c r="A1404" s="126"/>
      <c r="B1404" s="127" t="s">
        <v>140</v>
      </c>
      <c r="C1404" s="899" t="s">
        <v>697</v>
      </c>
      <c r="D1404" s="899"/>
      <c r="E1404" s="899"/>
      <c r="F1404" s="899"/>
      <c r="G1404" s="899"/>
      <c r="I1404" s="212"/>
      <c r="J1404" s="212"/>
      <c r="K1404" s="212"/>
      <c r="L1404" s="212"/>
      <c r="M1404" s="212"/>
      <c r="N1404" s="212"/>
      <c r="O1404" s="212"/>
      <c r="P1404" s="212"/>
    </row>
    <row r="1405" spans="1:18" s="49" customFormat="1" ht="25.5" customHeight="1">
      <c r="A1405" s="126"/>
      <c r="B1405" s="127" t="s">
        <v>140</v>
      </c>
      <c r="C1405" s="899" t="s">
        <v>698</v>
      </c>
      <c r="D1405" s="899"/>
      <c r="E1405" s="899"/>
      <c r="F1405" s="899"/>
      <c r="G1405" s="899"/>
      <c r="I1405" s="212"/>
      <c r="J1405" s="212"/>
      <c r="K1405" s="212"/>
      <c r="L1405" s="212"/>
      <c r="M1405" s="212"/>
      <c r="N1405" s="212"/>
      <c r="O1405" s="212"/>
      <c r="P1405" s="212"/>
    </row>
    <row r="1406" spans="1:18" s="49" customFormat="1" ht="25.5" customHeight="1">
      <c r="A1406" s="126"/>
      <c r="B1406" s="127" t="s">
        <v>140</v>
      </c>
      <c r="C1406" s="899" t="s">
        <v>699</v>
      </c>
      <c r="D1406" s="899"/>
      <c r="E1406" s="899"/>
      <c r="F1406" s="899"/>
      <c r="G1406" s="899"/>
    </row>
    <row r="1407" spans="1:18" s="49" customFormat="1">
      <c r="A1407" s="126"/>
      <c r="B1407" s="127" t="s">
        <v>140</v>
      </c>
      <c r="C1407" s="899" t="s">
        <v>700</v>
      </c>
      <c r="D1407" s="899"/>
      <c r="E1407" s="899"/>
      <c r="F1407" s="899"/>
      <c r="G1407" s="899"/>
    </row>
    <row r="1408" spans="1:18" s="26" customFormat="1" ht="13.15">
      <c r="A1408" s="117"/>
      <c r="B1408" s="105"/>
      <c r="C1408" s="204"/>
      <c r="D1408" s="50"/>
      <c r="E1408" s="34"/>
      <c r="F1408" s="29"/>
      <c r="G1408" s="29"/>
    </row>
    <row r="1409" spans="1:17" s="26" customFormat="1" ht="13.15">
      <c r="A1409" s="117"/>
      <c r="B1409" s="105"/>
      <c r="C1409" s="204"/>
      <c r="D1409" s="50"/>
      <c r="E1409" s="34"/>
      <c r="F1409" s="29"/>
      <c r="G1409" s="29"/>
    </row>
    <row r="1410" spans="1:17" s="24" customFormat="1" ht="13.15">
      <c r="A1410" s="111" t="s">
        <v>126</v>
      </c>
      <c r="B1410" s="112"/>
      <c r="C1410" s="33" t="s">
        <v>64</v>
      </c>
      <c r="D1410" s="36"/>
      <c r="E1410" s="203"/>
      <c r="F1410" s="29"/>
      <c r="G1410" s="29"/>
    </row>
    <row r="1411" spans="1:17" s="24" customFormat="1" ht="13.15">
      <c r="A1411" s="111"/>
      <c r="B1411" s="112"/>
      <c r="C1411" s="33"/>
      <c r="D1411" s="36"/>
      <c r="E1411" s="203"/>
      <c r="F1411" s="29"/>
      <c r="G1411" s="29"/>
    </row>
    <row r="1412" spans="1:17" s="24" customFormat="1" ht="43.5" customHeight="1">
      <c r="A1412" s="111"/>
      <c r="B1412" s="112"/>
      <c r="C1412" s="910" t="s">
        <v>80</v>
      </c>
      <c r="D1412" s="910"/>
      <c r="E1412" s="910"/>
      <c r="F1412" s="910"/>
      <c r="G1412" s="29"/>
    </row>
    <row r="1413" spans="1:17" s="24" customFormat="1" ht="35.25" customHeight="1">
      <c r="A1413" s="111"/>
      <c r="B1413" s="112"/>
      <c r="C1413" s="910" t="s">
        <v>81</v>
      </c>
      <c r="D1413" s="910"/>
      <c r="E1413" s="910"/>
      <c r="F1413" s="910"/>
      <c r="G1413" s="29"/>
      <c r="I1413" s="32"/>
      <c r="J1413" s="32"/>
      <c r="K1413" s="32"/>
      <c r="L1413" s="32"/>
      <c r="M1413" s="32"/>
      <c r="N1413" s="32"/>
      <c r="O1413" s="32"/>
      <c r="P1413" s="32"/>
      <c r="Q1413" s="32"/>
    </row>
    <row r="1414" spans="1:17" s="24" customFormat="1" ht="18.75" customHeight="1">
      <c r="A1414" s="111"/>
      <c r="B1414" s="112"/>
      <c r="C1414" s="910" t="s">
        <v>97</v>
      </c>
      <c r="D1414" s="910"/>
      <c r="E1414" s="910"/>
      <c r="F1414" s="910"/>
      <c r="G1414" s="29"/>
      <c r="I1414" s="32"/>
      <c r="J1414" s="32"/>
      <c r="K1414" s="32"/>
      <c r="L1414" s="32"/>
      <c r="M1414" s="32"/>
      <c r="N1414" s="32"/>
      <c r="O1414" s="32"/>
      <c r="P1414" s="32"/>
      <c r="Q1414" s="32"/>
    </row>
    <row r="1415" spans="1:17" s="24" customFormat="1" ht="13.5" customHeight="1">
      <c r="A1415" s="111"/>
      <c r="B1415" s="112"/>
      <c r="C1415" s="33"/>
      <c r="D1415" s="36"/>
      <c r="E1415" s="203"/>
      <c r="F1415" s="29"/>
      <c r="G1415" s="29"/>
      <c r="I1415" s="32"/>
      <c r="J1415" s="32"/>
      <c r="K1415" s="32"/>
      <c r="L1415" s="32"/>
      <c r="M1415" s="32"/>
      <c r="N1415" s="32"/>
      <c r="O1415" s="32"/>
      <c r="P1415" s="32"/>
      <c r="Q1415" s="32"/>
    </row>
    <row r="1416" spans="1:17" s="24" customFormat="1" ht="15.75" customHeight="1">
      <c r="A1416" s="111"/>
      <c r="B1416" s="112"/>
      <c r="C1416" s="32" t="s">
        <v>82</v>
      </c>
      <c r="D1416" s="36"/>
      <c r="E1416" s="203"/>
      <c r="F1416" s="29"/>
      <c r="G1416" s="29"/>
      <c r="I1416" s="32"/>
      <c r="J1416" s="32"/>
      <c r="K1416" s="32"/>
      <c r="L1416" s="32"/>
      <c r="M1416" s="32"/>
      <c r="N1416" s="32"/>
      <c r="O1416" s="32"/>
      <c r="P1416" s="32"/>
      <c r="Q1416" s="32"/>
    </row>
    <row r="1417" spans="1:17" s="24" customFormat="1" ht="39" customHeight="1">
      <c r="A1417" s="111"/>
      <c r="B1417" s="112"/>
      <c r="C1417" s="910" t="s">
        <v>1137</v>
      </c>
      <c r="D1417" s="910"/>
      <c r="E1417" s="910"/>
      <c r="F1417" s="910"/>
      <c r="G1417" s="29"/>
      <c r="I1417" s="32"/>
      <c r="J1417" s="32"/>
      <c r="K1417" s="32"/>
      <c r="L1417" s="32"/>
      <c r="M1417" s="32"/>
      <c r="N1417" s="32"/>
      <c r="O1417" s="32"/>
      <c r="P1417" s="32"/>
      <c r="Q1417" s="32"/>
    </row>
    <row r="1418" spans="1:17" s="57" customFormat="1" ht="280.5">
      <c r="A1418" s="111" t="s">
        <v>126</v>
      </c>
      <c r="B1418" s="112">
        <v>1</v>
      </c>
      <c r="C1418" s="212" t="s">
        <v>950</v>
      </c>
      <c r="D1418" s="105"/>
      <c r="E1418" s="215"/>
      <c r="F1418" s="300"/>
      <c r="G1418" s="300"/>
      <c r="H1418" s="305"/>
    </row>
    <row r="1419" spans="1:17" s="57" customFormat="1" ht="13.15">
      <c r="A1419" s="111"/>
      <c r="B1419" s="112"/>
      <c r="C1419" s="33" t="s">
        <v>951</v>
      </c>
      <c r="D1419" s="112" t="s">
        <v>24</v>
      </c>
      <c r="E1419" s="324">
        <v>43</v>
      </c>
      <c r="F1419" s="403"/>
      <c r="G1419" s="354">
        <f t="shared" ref="G1419:G1425" si="77">E1419*F1419</f>
        <v>0</v>
      </c>
      <c r="H1419" s="305"/>
    </row>
    <row r="1420" spans="1:17" s="57" customFormat="1" ht="13.15">
      <c r="A1420" s="111"/>
      <c r="B1420" s="112"/>
      <c r="C1420" s="33" t="s">
        <v>952</v>
      </c>
      <c r="D1420" s="112" t="s">
        <v>24</v>
      </c>
      <c r="E1420" s="324">
        <v>9</v>
      </c>
      <c r="F1420" s="403"/>
      <c r="G1420" s="354">
        <f t="shared" si="77"/>
        <v>0</v>
      </c>
      <c r="H1420" s="305"/>
    </row>
    <row r="1421" spans="1:17" s="57" customFormat="1" ht="13.15">
      <c r="A1421" s="111"/>
      <c r="B1421" s="112"/>
      <c r="C1421" s="33" t="s">
        <v>953</v>
      </c>
      <c r="D1421" s="112" t="s">
        <v>24</v>
      </c>
      <c r="E1421" s="324">
        <v>14</v>
      </c>
      <c r="F1421" s="403"/>
      <c r="G1421" s="354">
        <f t="shared" si="77"/>
        <v>0</v>
      </c>
      <c r="H1421" s="305"/>
    </row>
    <row r="1422" spans="1:17" s="57" customFormat="1" ht="13.15">
      <c r="A1422" s="111"/>
      <c r="B1422" s="112"/>
      <c r="C1422" s="33" t="s">
        <v>954</v>
      </c>
      <c r="D1422" s="112" t="s">
        <v>24</v>
      </c>
      <c r="E1422" s="324">
        <v>3</v>
      </c>
      <c r="F1422" s="403"/>
      <c r="G1422" s="354">
        <f t="shared" si="77"/>
        <v>0</v>
      </c>
      <c r="H1422" s="305"/>
    </row>
    <row r="1423" spans="1:17" s="57" customFormat="1" ht="13.15">
      <c r="A1423" s="111"/>
      <c r="B1423" s="112"/>
      <c r="C1423" s="33" t="s">
        <v>955</v>
      </c>
      <c r="D1423" s="112" t="s">
        <v>24</v>
      </c>
      <c r="E1423" s="324">
        <v>5</v>
      </c>
      <c r="F1423" s="403"/>
      <c r="G1423" s="354">
        <f t="shared" si="77"/>
        <v>0</v>
      </c>
      <c r="H1423" s="305"/>
    </row>
    <row r="1424" spans="1:17" s="57" customFormat="1" ht="13.15">
      <c r="A1424" s="111"/>
      <c r="B1424" s="112"/>
      <c r="C1424" s="33" t="s">
        <v>956</v>
      </c>
      <c r="D1424" s="112" t="s">
        <v>24</v>
      </c>
      <c r="E1424" s="324">
        <v>1</v>
      </c>
      <c r="F1424" s="403"/>
      <c r="G1424" s="354">
        <f t="shared" si="77"/>
        <v>0</v>
      </c>
      <c r="H1424" s="305"/>
    </row>
    <row r="1425" spans="1:17" s="57" customFormat="1" ht="13.15">
      <c r="A1425" s="111"/>
      <c r="B1425" s="112"/>
      <c r="C1425" s="33" t="s">
        <v>989</v>
      </c>
      <c r="D1425" s="112" t="s">
        <v>24</v>
      </c>
      <c r="E1425" s="324">
        <v>3</v>
      </c>
      <c r="F1425" s="403"/>
      <c r="G1425" s="354">
        <f t="shared" si="77"/>
        <v>0</v>
      </c>
      <c r="H1425" s="305"/>
    </row>
    <row r="1426" spans="1:17" s="57" customFormat="1" ht="13.15">
      <c r="A1426" s="111"/>
      <c r="B1426" s="112"/>
      <c r="C1426" s="33"/>
      <c r="D1426" s="112"/>
      <c r="E1426" s="324"/>
      <c r="F1426" s="300"/>
      <c r="G1426" s="300"/>
      <c r="H1426" s="305"/>
    </row>
    <row r="1427" spans="1:17" s="57" customFormat="1" ht="89.25">
      <c r="A1427" s="111"/>
      <c r="B1427" s="112">
        <v>2</v>
      </c>
      <c r="C1427" s="306" t="s">
        <v>1013</v>
      </c>
      <c r="D1427" s="453"/>
      <c r="E1427" s="454"/>
      <c r="F1427" s="300"/>
      <c r="G1427" s="300"/>
      <c r="H1427" s="305"/>
    </row>
    <row r="1428" spans="1:17" s="57" customFormat="1" ht="13.15">
      <c r="A1428" s="111"/>
      <c r="B1428" s="112"/>
      <c r="C1428" s="306"/>
      <c r="D1428" s="112" t="s">
        <v>23</v>
      </c>
      <c r="E1428" s="324">
        <v>137.69999999999999</v>
      </c>
      <c r="F1428" s="403"/>
      <c r="G1428" s="354">
        <f>E1428*F1428</f>
        <v>0</v>
      </c>
      <c r="H1428" s="305"/>
    </row>
    <row r="1429" spans="1:17" s="57" customFormat="1" ht="13.15">
      <c r="A1429" s="111"/>
      <c r="B1429" s="112"/>
      <c r="C1429" s="306"/>
      <c r="D1429" s="36"/>
      <c r="E1429" s="110"/>
      <c r="F1429" s="29"/>
      <c r="G1429" s="29"/>
      <c r="H1429" s="305"/>
    </row>
    <row r="1430" spans="1:17" s="57" customFormat="1" ht="13.15">
      <c r="A1430" s="117"/>
      <c r="B1430" s="105"/>
      <c r="C1430" s="272"/>
      <c r="D1430" s="50"/>
      <c r="E1430" s="44"/>
      <c r="F1430" s="29"/>
      <c r="G1430" s="29"/>
      <c r="H1430" s="305"/>
    </row>
    <row r="1431" spans="1:17" s="311" customFormat="1" ht="13.15">
      <c r="A1431" s="214" t="s">
        <v>126</v>
      </c>
      <c r="B1431" s="307"/>
      <c r="C1431" s="217" t="s">
        <v>107</v>
      </c>
      <c r="D1431" s="308"/>
      <c r="E1431" s="389"/>
      <c r="F1431" s="309"/>
      <c r="G1431" s="309">
        <f>SUM(G1419:G1428)</f>
        <v>0</v>
      </c>
      <c r="H1431" s="310"/>
    </row>
    <row r="1432" spans="1:17" s="57" customFormat="1" ht="13.15">
      <c r="A1432" s="117"/>
      <c r="B1432" s="105"/>
      <c r="C1432" s="204"/>
      <c r="D1432" s="50"/>
      <c r="E1432" s="44"/>
      <c r="F1432" s="29"/>
      <c r="G1432" s="29"/>
      <c r="H1432" s="312"/>
      <c r="J1432" s="305"/>
      <c r="K1432" s="305"/>
      <c r="L1432" s="305"/>
      <c r="M1432" s="305"/>
      <c r="N1432" s="305"/>
      <c r="O1432" s="305"/>
      <c r="P1432" s="305"/>
      <c r="Q1432" s="305"/>
    </row>
    <row r="1433" spans="1:17" s="57" customFormat="1" ht="13.15">
      <c r="A1433" s="117"/>
      <c r="B1433" s="105"/>
      <c r="C1433" s="204"/>
      <c r="D1433" s="50"/>
      <c r="E1433" s="44"/>
      <c r="F1433" s="29"/>
      <c r="G1433" s="29"/>
      <c r="H1433" s="312"/>
      <c r="J1433" s="305"/>
      <c r="K1433" s="305"/>
      <c r="L1433" s="305"/>
      <c r="M1433" s="305"/>
      <c r="N1433" s="305"/>
      <c r="O1433" s="305"/>
      <c r="P1433" s="305"/>
      <c r="Q1433" s="305"/>
    </row>
    <row r="1434" spans="1:17" s="61" customFormat="1" ht="13.15">
      <c r="A1434" s="159" t="s">
        <v>127</v>
      </c>
      <c r="B1434" s="313"/>
      <c r="C1434" s="906" t="s">
        <v>1939</v>
      </c>
      <c r="D1434" s="906"/>
      <c r="E1434" s="906"/>
      <c r="F1434" s="313"/>
      <c r="G1434" s="313"/>
      <c r="H1434" s="314"/>
      <c r="J1434" s="189"/>
      <c r="K1434" s="189"/>
      <c r="L1434" s="189"/>
      <c r="M1434" s="189"/>
      <c r="N1434" s="189"/>
      <c r="O1434" s="189"/>
      <c r="P1434" s="189"/>
      <c r="Q1434" s="189"/>
    </row>
    <row r="1435" spans="1:17" s="61" customFormat="1" ht="15">
      <c r="A1435" s="63"/>
      <c r="B1435" s="315"/>
      <c r="C1435" s="907" t="s">
        <v>701</v>
      </c>
      <c r="D1435" s="908"/>
      <c r="E1435" s="316"/>
      <c r="F1435" s="313"/>
      <c r="G1435" s="313"/>
      <c r="H1435" s="314"/>
      <c r="J1435" s="189"/>
      <c r="K1435" s="189"/>
      <c r="L1435" s="189"/>
      <c r="M1435" s="189"/>
      <c r="N1435" s="189"/>
      <c r="O1435" s="189"/>
      <c r="P1435" s="189"/>
      <c r="Q1435" s="189"/>
    </row>
    <row r="1436" spans="1:17" s="61" customFormat="1" ht="17.25" customHeight="1">
      <c r="A1436" s="63"/>
      <c r="B1436" s="317"/>
      <c r="C1436" s="909" t="s">
        <v>702</v>
      </c>
      <c r="D1436" s="909"/>
      <c r="E1436" s="909"/>
      <c r="F1436" s="909"/>
      <c r="G1436" s="909"/>
      <c r="H1436" s="314"/>
    </row>
    <row r="1437" spans="1:17" s="61" customFormat="1" ht="31.5" customHeight="1">
      <c r="A1437" s="63"/>
      <c r="B1437" s="317"/>
      <c r="C1437" s="905" t="s">
        <v>703</v>
      </c>
      <c r="D1437" s="905"/>
      <c r="E1437" s="905"/>
      <c r="F1437" s="905"/>
      <c r="G1437" s="905"/>
      <c r="H1437" s="314"/>
    </row>
    <row r="1438" spans="1:17" s="61" customFormat="1" ht="96" customHeight="1">
      <c r="A1438" s="189"/>
      <c r="B1438" s="318"/>
      <c r="C1438" s="904" t="s">
        <v>948</v>
      </c>
      <c r="D1438" s="904"/>
      <c r="E1438" s="904"/>
      <c r="F1438" s="904"/>
      <c r="G1438" s="904"/>
      <c r="H1438" s="314"/>
    </row>
    <row r="1439" spans="1:17" s="61" customFormat="1" ht="291.75" customHeight="1">
      <c r="A1439" s="63"/>
      <c r="B1439" s="317"/>
      <c r="C1439" s="901" t="s">
        <v>704</v>
      </c>
      <c r="D1439" s="901"/>
      <c r="E1439" s="901"/>
      <c r="F1439" s="901"/>
      <c r="G1439" s="901"/>
      <c r="H1439" s="314"/>
    </row>
    <row r="1440" spans="1:17" s="61" customFormat="1" ht="214.5" customHeight="1">
      <c r="A1440" s="63"/>
      <c r="B1440" s="317"/>
      <c r="C1440" s="901" t="s">
        <v>705</v>
      </c>
      <c r="D1440" s="901"/>
      <c r="E1440" s="901"/>
      <c r="F1440" s="901"/>
      <c r="G1440" s="901"/>
    </row>
    <row r="1441" spans="1:8" s="61" customFormat="1" ht="159.75" customHeight="1">
      <c r="A1441" s="63"/>
      <c r="B1441" s="317"/>
      <c r="C1441" s="901" t="s">
        <v>706</v>
      </c>
      <c r="D1441" s="901"/>
      <c r="E1441" s="901"/>
      <c r="F1441" s="901"/>
      <c r="G1441" s="901"/>
      <c r="H1441" s="313"/>
    </row>
    <row r="1442" spans="1:8" s="61" customFormat="1" ht="109.5" customHeight="1">
      <c r="A1442" s="63"/>
      <c r="B1442" s="317"/>
      <c r="C1442" s="901" t="s">
        <v>707</v>
      </c>
      <c r="D1442" s="901"/>
      <c r="E1442" s="901"/>
      <c r="F1442" s="901"/>
      <c r="G1442" s="901"/>
      <c r="H1442" s="313"/>
    </row>
    <row r="1443" spans="1:8" s="61" customFormat="1" ht="264.75" customHeight="1">
      <c r="A1443" s="63"/>
      <c r="B1443" s="317"/>
      <c r="C1443" s="901" t="s">
        <v>708</v>
      </c>
      <c r="D1443" s="901"/>
      <c r="E1443" s="901"/>
      <c r="F1443" s="901"/>
      <c r="G1443" s="901"/>
      <c r="H1443" s="313"/>
    </row>
    <row r="1444" spans="1:8" s="61" customFormat="1" ht="303.75" customHeight="1">
      <c r="A1444" s="63"/>
      <c r="B1444" s="317"/>
      <c r="C1444" s="901" t="s">
        <v>949</v>
      </c>
      <c r="D1444" s="901"/>
      <c r="E1444" s="901"/>
      <c r="F1444" s="901"/>
      <c r="G1444" s="901"/>
      <c r="H1444" s="313"/>
    </row>
    <row r="1445" spans="1:8" s="61" customFormat="1" ht="59.25" customHeight="1">
      <c r="A1445" s="63"/>
      <c r="B1445" s="317"/>
      <c r="C1445" s="901" t="s">
        <v>957</v>
      </c>
      <c r="D1445" s="901"/>
      <c r="E1445" s="901"/>
      <c r="F1445" s="901"/>
      <c r="G1445" s="901"/>
      <c r="H1445" s="313"/>
    </row>
    <row r="1446" spans="1:8" s="61" customFormat="1" ht="75" customHeight="1">
      <c r="A1446" s="63"/>
      <c r="B1446" s="317"/>
      <c r="C1446" s="901" t="s">
        <v>958</v>
      </c>
      <c r="D1446" s="901"/>
      <c r="E1446" s="901"/>
      <c r="F1446" s="901"/>
      <c r="G1446" s="901"/>
      <c r="H1446" s="313"/>
    </row>
    <row r="1447" spans="1:8" s="61" customFormat="1" ht="97.5" customHeight="1">
      <c r="A1447" s="63"/>
      <c r="B1447" s="317"/>
      <c r="C1447" s="901" t="s">
        <v>959</v>
      </c>
      <c r="D1447" s="901"/>
      <c r="E1447" s="901"/>
      <c r="F1447" s="901"/>
      <c r="G1447" s="901"/>
      <c r="H1447" s="313"/>
    </row>
    <row r="1448" spans="1:8" s="61" customFormat="1" ht="91.5" customHeight="1">
      <c r="A1448" s="63"/>
      <c r="B1448" s="317"/>
      <c r="C1448" s="901" t="s">
        <v>960</v>
      </c>
      <c r="D1448" s="901"/>
      <c r="E1448" s="901"/>
      <c r="F1448" s="901"/>
      <c r="G1448" s="901"/>
      <c r="H1448" s="313"/>
    </row>
    <row r="1449" spans="1:8" s="61" customFormat="1" ht="76.5" customHeight="1">
      <c r="A1449" s="63"/>
      <c r="B1449" s="317"/>
      <c r="C1449" s="901" t="s">
        <v>961</v>
      </c>
      <c r="D1449" s="901"/>
      <c r="E1449" s="901"/>
      <c r="F1449" s="901"/>
      <c r="G1449" s="901"/>
      <c r="H1449" s="313"/>
    </row>
    <row r="1450" spans="1:8" s="61" customFormat="1" ht="76.5" customHeight="1">
      <c r="A1450" s="63"/>
      <c r="B1450" s="317"/>
      <c r="C1450" s="901" t="s">
        <v>962</v>
      </c>
      <c r="D1450" s="901"/>
      <c r="E1450" s="901"/>
      <c r="F1450" s="901"/>
      <c r="G1450" s="901"/>
      <c r="H1450" s="313"/>
    </row>
    <row r="1451" spans="1:8" s="61" customFormat="1" ht="27.75" customHeight="1">
      <c r="A1451" s="63"/>
      <c r="B1451" s="317"/>
      <c r="C1451" s="901" t="s">
        <v>963</v>
      </c>
      <c r="D1451" s="901"/>
      <c r="E1451" s="901"/>
      <c r="F1451" s="901"/>
      <c r="G1451" s="901"/>
      <c r="H1451" s="313"/>
    </row>
    <row r="1452" spans="1:8" s="61" customFormat="1" ht="65.25" customHeight="1">
      <c r="A1452" s="63"/>
      <c r="B1452" s="317"/>
      <c r="C1452" s="901" t="s">
        <v>964</v>
      </c>
      <c r="D1452" s="901"/>
      <c r="E1452" s="901"/>
      <c r="F1452" s="901"/>
      <c r="G1452" s="901"/>
      <c r="H1452" s="313"/>
    </row>
    <row r="1453" spans="1:8" s="61" customFormat="1" ht="65.25" customHeight="1">
      <c r="A1453" s="63"/>
      <c r="B1453" s="317"/>
      <c r="C1453" s="901" t="s">
        <v>965</v>
      </c>
      <c r="D1453" s="901"/>
      <c r="E1453" s="901"/>
      <c r="F1453" s="901"/>
      <c r="G1453" s="901"/>
      <c r="H1453" s="313"/>
    </row>
    <row r="1454" spans="1:8" s="61" customFormat="1" ht="84.75" customHeight="1">
      <c r="A1454" s="63"/>
      <c r="B1454" s="317"/>
      <c r="C1454" s="901" t="s">
        <v>966</v>
      </c>
      <c r="D1454" s="901"/>
      <c r="E1454" s="901"/>
      <c r="F1454" s="901"/>
      <c r="G1454" s="901"/>
      <c r="H1454" s="313"/>
    </row>
    <row r="1455" spans="1:8" s="61" customFormat="1" ht="33" customHeight="1">
      <c r="A1455" s="63"/>
      <c r="B1455" s="317"/>
      <c r="C1455" s="901" t="s">
        <v>967</v>
      </c>
      <c r="D1455" s="901"/>
      <c r="E1455" s="901"/>
      <c r="F1455" s="901"/>
      <c r="G1455" s="901"/>
      <c r="H1455" s="313"/>
    </row>
    <row r="1456" spans="1:8" s="61" customFormat="1" ht="21" customHeight="1">
      <c r="A1456" s="63"/>
      <c r="B1456" s="317"/>
      <c r="C1456" s="901" t="s">
        <v>1001</v>
      </c>
      <c r="D1456" s="901"/>
      <c r="E1456" s="901"/>
      <c r="F1456" s="901"/>
      <c r="G1456" s="901"/>
      <c r="H1456" s="313"/>
    </row>
    <row r="1457" spans="1:8" s="61" customFormat="1" ht="62.25" customHeight="1">
      <c r="A1457" s="63"/>
      <c r="B1457" s="317"/>
      <c r="C1457" s="901" t="s">
        <v>1002</v>
      </c>
      <c r="D1457" s="901"/>
      <c r="E1457" s="901"/>
      <c r="F1457" s="901"/>
      <c r="G1457" s="901"/>
      <c r="H1457" s="313"/>
    </row>
    <row r="1458" spans="1:8" s="61" customFormat="1" ht="92.25" customHeight="1">
      <c r="A1458" s="63"/>
      <c r="B1458" s="317"/>
      <c r="C1458" s="901" t="s">
        <v>1003</v>
      </c>
      <c r="D1458" s="901"/>
      <c r="E1458" s="901"/>
      <c r="F1458" s="901"/>
      <c r="G1458" s="901"/>
      <c r="H1458" s="313"/>
    </row>
    <row r="1459" spans="1:8" s="61" customFormat="1" ht="58.5" customHeight="1">
      <c r="A1459" s="63"/>
      <c r="B1459" s="317"/>
      <c r="C1459" s="901" t="s">
        <v>1004</v>
      </c>
      <c r="D1459" s="901"/>
      <c r="E1459" s="901"/>
      <c r="F1459" s="901"/>
      <c r="G1459" s="901"/>
      <c r="H1459" s="313"/>
    </row>
    <row r="1460" spans="1:8" s="61" customFormat="1" ht="42.75" customHeight="1">
      <c r="A1460" s="63"/>
      <c r="B1460" s="317"/>
      <c r="C1460" s="901" t="s">
        <v>1006</v>
      </c>
      <c r="D1460" s="901"/>
      <c r="E1460" s="901"/>
      <c r="F1460" s="901"/>
      <c r="G1460" s="901"/>
      <c r="H1460" s="313"/>
    </row>
    <row r="1461" spans="1:8" s="61" customFormat="1" ht="84.75" customHeight="1">
      <c r="A1461" s="63"/>
      <c r="B1461" s="317"/>
      <c r="C1461" s="901" t="s">
        <v>1005</v>
      </c>
      <c r="D1461" s="901"/>
      <c r="E1461" s="901"/>
      <c r="F1461" s="901"/>
      <c r="G1461" s="901"/>
      <c r="H1461" s="313"/>
    </row>
    <row r="1462" spans="1:8" s="61" customFormat="1" ht="13.15">
      <c r="A1462" s="63"/>
      <c r="B1462" s="317"/>
      <c r="C1462" s="901" t="s">
        <v>1101</v>
      </c>
      <c r="D1462" s="901"/>
      <c r="E1462" s="901"/>
      <c r="F1462" s="901"/>
      <c r="G1462" s="901"/>
      <c r="H1462" s="313"/>
    </row>
    <row r="1463" spans="1:8" s="61" customFormat="1" ht="99.75" customHeight="1">
      <c r="A1463" s="63"/>
      <c r="B1463" s="317"/>
      <c r="C1463" s="901" t="s">
        <v>1152</v>
      </c>
      <c r="D1463" s="901"/>
      <c r="E1463" s="901"/>
      <c r="F1463" s="901"/>
      <c r="G1463" s="901"/>
      <c r="H1463" s="313"/>
    </row>
    <row r="1464" spans="1:8" s="61" customFormat="1" ht="41.25" customHeight="1">
      <c r="A1464" s="63"/>
      <c r="B1464" s="317"/>
      <c r="C1464" s="902" t="s">
        <v>1936</v>
      </c>
      <c r="D1464" s="901"/>
      <c r="E1464" s="901"/>
      <c r="F1464" s="901"/>
      <c r="G1464" s="901"/>
      <c r="H1464" s="313"/>
    </row>
    <row r="1465" spans="1:8" s="61" customFormat="1" ht="13.15">
      <c r="A1465" s="63"/>
      <c r="B1465" s="317"/>
      <c r="C1465" s="901"/>
      <c r="D1465" s="901"/>
      <c r="E1465" s="901"/>
      <c r="F1465" s="901"/>
      <c r="G1465" s="901"/>
      <c r="H1465" s="313"/>
    </row>
    <row r="1466" spans="1:8" s="61" customFormat="1" ht="13.15">
      <c r="A1466" s="159" t="s">
        <v>127</v>
      </c>
      <c r="B1466" s="112">
        <v>1</v>
      </c>
      <c r="C1466" s="314" t="s">
        <v>991</v>
      </c>
      <c r="D1466" s="314"/>
      <c r="E1466" s="314"/>
      <c r="F1466" s="314"/>
      <c r="G1466" s="314"/>
      <c r="H1466" s="313"/>
    </row>
    <row r="1467" spans="1:8" s="61" customFormat="1" ht="164.25" customHeight="1">
      <c r="A1467" s="63"/>
      <c r="B1467" s="317"/>
      <c r="C1467" s="314" t="s">
        <v>1102</v>
      </c>
      <c r="D1467" s="455"/>
      <c r="E1467" s="394"/>
      <c r="F1467" s="394"/>
      <c r="G1467" s="394"/>
      <c r="H1467" s="313"/>
    </row>
    <row r="1468" spans="1:8" s="61" customFormat="1" ht="13.15">
      <c r="A1468" s="63"/>
      <c r="B1468" s="105"/>
      <c r="C1468" s="33" t="s">
        <v>968</v>
      </c>
      <c r="D1468" s="112" t="s">
        <v>24</v>
      </c>
      <c r="E1468" s="324">
        <v>15</v>
      </c>
      <c r="F1468" s="393"/>
      <c r="G1468" s="386">
        <f t="shared" ref="G1468:G1487" si="78">E1468*F1468</f>
        <v>0</v>
      </c>
      <c r="H1468" s="313"/>
    </row>
    <row r="1469" spans="1:8" s="61" customFormat="1" ht="13.15">
      <c r="A1469" s="63"/>
      <c r="B1469" s="105"/>
      <c r="C1469" s="33" t="s">
        <v>969</v>
      </c>
      <c r="D1469" s="112" t="s">
        <v>24</v>
      </c>
      <c r="E1469" s="324">
        <v>6</v>
      </c>
      <c r="F1469" s="393"/>
      <c r="G1469" s="386">
        <f t="shared" si="78"/>
        <v>0</v>
      </c>
      <c r="H1469" s="313"/>
    </row>
    <row r="1470" spans="1:8" s="61" customFormat="1" ht="13.15">
      <c r="A1470" s="63"/>
      <c r="B1470" s="105"/>
      <c r="C1470" s="33" t="s">
        <v>970</v>
      </c>
      <c r="D1470" s="112" t="s">
        <v>24</v>
      </c>
      <c r="E1470" s="324">
        <v>12</v>
      </c>
      <c r="F1470" s="393"/>
      <c r="G1470" s="386">
        <f t="shared" si="78"/>
        <v>0</v>
      </c>
      <c r="H1470" s="313"/>
    </row>
    <row r="1471" spans="1:8" s="61" customFormat="1" ht="13.15">
      <c r="A1471" s="63"/>
      <c r="B1471" s="105"/>
      <c r="C1471" s="33" t="s">
        <v>971</v>
      </c>
      <c r="D1471" s="112" t="s">
        <v>24</v>
      </c>
      <c r="E1471" s="324">
        <v>10</v>
      </c>
      <c r="F1471" s="393"/>
      <c r="G1471" s="386">
        <f t="shared" si="78"/>
        <v>0</v>
      </c>
      <c r="H1471" s="313"/>
    </row>
    <row r="1472" spans="1:8" s="61" customFormat="1" ht="25.9">
      <c r="A1472" s="63"/>
      <c r="B1472" s="105"/>
      <c r="C1472" s="33" t="s">
        <v>979</v>
      </c>
      <c r="D1472" s="112" t="s">
        <v>24</v>
      </c>
      <c r="E1472" s="324">
        <v>8</v>
      </c>
      <c r="F1472" s="393"/>
      <c r="G1472" s="386">
        <f t="shared" si="78"/>
        <v>0</v>
      </c>
      <c r="H1472" s="313"/>
    </row>
    <row r="1473" spans="1:8" s="61" customFormat="1" ht="25.9">
      <c r="A1473" s="63"/>
      <c r="B1473" s="105"/>
      <c r="C1473" s="33" t="s">
        <v>976</v>
      </c>
      <c r="D1473" s="112" t="s">
        <v>24</v>
      </c>
      <c r="E1473" s="324">
        <v>6</v>
      </c>
      <c r="F1473" s="393"/>
      <c r="G1473" s="386">
        <f t="shared" si="78"/>
        <v>0</v>
      </c>
      <c r="H1473" s="313"/>
    </row>
    <row r="1474" spans="1:8" s="61" customFormat="1" ht="25.9">
      <c r="A1474" s="63"/>
      <c r="B1474" s="105"/>
      <c r="C1474" s="33" t="s">
        <v>977</v>
      </c>
      <c r="D1474" s="112" t="s">
        <v>24</v>
      </c>
      <c r="E1474" s="324">
        <v>4</v>
      </c>
      <c r="F1474" s="393"/>
      <c r="G1474" s="386">
        <f t="shared" si="78"/>
        <v>0</v>
      </c>
      <c r="H1474" s="313"/>
    </row>
    <row r="1475" spans="1:8" s="61" customFormat="1" ht="25.9">
      <c r="A1475" s="63"/>
      <c r="B1475" s="105"/>
      <c r="C1475" s="33" t="s">
        <v>978</v>
      </c>
      <c r="D1475" s="112" t="s">
        <v>24</v>
      </c>
      <c r="E1475" s="324">
        <v>5</v>
      </c>
      <c r="F1475" s="393"/>
      <c r="G1475" s="386">
        <f t="shared" si="78"/>
        <v>0</v>
      </c>
      <c r="H1475" s="313"/>
    </row>
    <row r="1476" spans="1:8" s="61" customFormat="1" ht="25.9">
      <c r="A1476" s="63"/>
      <c r="B1476" s="105"/>
      <c r="C1476" s="33" t="s">
        <v>972</v>
      </c>
      <c r="D1476" s="112" t="s">
        <v>24</v>
      </c>
      <c r="E1476" s="324">
        <v>9</v>
      </c>
      <c r="F1476" s="393"/>
      <c r="G1476" s="386">
        <f t="shared" si="78"/>
        <v>0</v>
      </c>
      <c r="H1476" s="313"/>
    </row>
    <row r="1477" spans="1:8" s="61" customFormat="1" ht="25.9">
      <c r="A1477" s="63"/>
      <c r="B1477" s="105"/>
      <c r="C1477" s="33" t="s">
        <v>973</v>
      </c>
      <c r="D1477" s="112" t="s">
        <v>24</v>
      </c>
      <c r="E1477" s="324">
        <v>4</v>
      </c>
      <c r="F1477" s="393"/>
      <c r="G1477" s="386">
        <f t="shared" si="78"/>
        <v>0</v>
      </c>
      <c r="H1477" s="313"/>
    </row>
    <row r="1478" spans="1:8" s="61" customFormat="1" ht="25.9">
      <c r="A1478" s="63"/>
      <c r="B1478" s="105"/>
      <c r="C1478" s="33" t="s">
        <v>974</v>
      </c>
      <c r="D1478" s="112" t="s">
        <v>24</v>
      </c>
      <c r="E1478" s="324">
        <v>3</v>
      </c>
      <c r="F1478" s="393"/>
      <c r="G1478" s="386">
        <f t="shared" si="78"/>
        <v>0</v>
      </c>
      <c r="H1478" s="313"/>
    </row>
    <row r="1479" spans="1:8" s="61" customFormat="1" ht="25.9">
      <c r="A1479" s="63"/>
      <c r="B1479" s="105"/>
      <c r="C1479" s="33" t="s">
        <v>975</v>
      </c>
      <c r="D1479" s="112" t="s">
        <v>24</v>
      </c>
      <c r="E1479" s="324">
        <v>1</v>
      </c>
      <c r="F1479" s="393"/>
      <c r="G1479" s="386">
        <f t="shared" si="78"/>
        <v>0</v>
      </c>
      <c r="H1479" s="313"/>
    </row>
    <row r="1480" spans="1:8" s="61" customFormat="1" ht="25.9">
      <c r="A1480" s="63"/>
      <c r="B1480" s="105"/>
      <c r="C1480" s="33" t="s">
        <v>980</v>
      </c>
      <c r="D1480" s="112" t="s">
        <v>24</v>
      </c>
      <c r="E1480" s="324">
        <v>2</v>
      </c>
      <c r="F1480" s="393"/>
      <c r="G1480" s="386">
        <f t="shared" si="78"/>
        <v>0</v>
      </c>
      <c r="H1480" s="313"/>
    </row>
    <row r="1481" spans="1:8" s="61" customFormat="1" ht="25.9">
      <c r="A1481" s="63"/>
      <c r="B1481" s="191"/>
      <c r="C1481" s="33" t="s">
        <v>981</v>
      </c>
      <c r="D1481" s="112" t="s">
        <v>24</v>
      </c>
      <c r="E1481" s="324">
        <v>1</v>
      </c>
      <c r="F1481" s="393"/>
      <c r="G1481" s="386">
        <f t="shared" si="78"/>
        <v>0</v>
      </c>
      <c r="H1481" s="313"/>
    </row>
    <row r="1482" spans="1:8" s="61" customFormat="1" ht="38.65">
      <c r="A1482" s="63"/>
      <c r="B1482" s="191"/>
      <c r="C1482" s="33" t="s">
        <v>983</v>
      </c>
      <c r="D1482" s="112" t="s">
        <v>24</v>
      </c>
      <c r="E1482" s="324">
        <v>2</v>
      </c>
      <c r="F1482" s="393"/>
      <c r="G1482" s="386">
        <f t="shared" si="78"/>
        <v>0</v>
      </c>
      <c r="H1482" s="313"/>
    </row>
    <row r="1483" spans="1:8" s="61" customFormat="1" ht="38.65">
      <c r="A1483" s="63"/>
      <c r="B1483" s="191"/>
      <c r="C1483" s="33" t="s">
        <v>982</v>
      </c>
      <c r="D1483" s="112" t="s">
        <v>24</v>
      </c>
      <c r="E1483" s="324">
        <v>1</v>
      </c>
      <c r="F1483" s="393"/>
      <c r="G1483" s="386">
        <f t="shared" si="78"/>
        <v>0</v>
      </c>
      <c r="H1483" s="313"/>
    </row>
    <row r="1484" spans="1:8" s="177" customFormat="1" ht="13.15">
      <c r="A1484" s="179"/>
      <c r="B1484" s="191"/>
      <c r="C1484" s="273" t="s">
        <v>984</v>
      </c>
      <c r="D1484" s="191" t="s">
        <v>24</v>
      </c>
      <c r="E1484" s="436">
        <v>12</v>
      </c>
      <c r="F1484" s="393"/>
      <c r="G1484" s="386">
        <f t="shared" si="78"/>
        <v>0</v>
      </c>
      <c r="H1484" s="320"/>
    </row>
    <row r="1485" spans="1:8" s="177" customFormat="1" ht="13.15">
      <c r="A1485" s="179"/>
      <c r="B1485" s="191"/>
      <c r="C1485" s="273" t="s">
        <v>985</v>
      </c>
      <c r="D1485" s="191" t="s">
        <v>24</v>
      </c>
      <c r="E1485" s="436">
        <v>4</v>
      </c>
      <c r="F1485" s="393"/>
      <c r="G1485" s="386">
        <f t="shared" si="78"/>
        <v>0</v>
      </c>
      <c r="H1485" s="320"/>
    </row>
    <row r="1486" spans="1:8" s="177" customFormat="1" ht="25.9">
      <c r="A1486" s="179"/>
      <c r="B1486" s="191"/>
      <c r="C1486" s="273" t="s">
        <v>986</v>
      </c>
      <c r="D1486" s="191" t="s">
        <v>24</v>
      </c>
      <c r="E1486" s="436">
        <v>9</v>
      </c>
      <c r="F1486" s="393"/>
      <c r="G1486" s="386">
        <f t="shared" si="78"/>
        <v>0</v>
      </c>
      <c r="H1486" s="320"/>
    </row>
    <row r="1487" spans="1:8" s="61" customFormat="1" ht="25.9">
      <c r="A1487" s="63"/>
      <c r="B1487" s="191"/>
      <c r="C1487" s="33" t="s">
        <v>987</v>
      </c>
      <c r="D1487" s="112" t="s">
        <v>24</v>
      </c>
      <c r="E1487" s="324">
        <v>1</v>
      </c>
      <c r="F1487" s="393"/>
      <c r="G1487" s="386">
        <f t="shared" si="78"/>
        <v>0</v>
      </c>
      <c r="H1487" s="313"/>
    </row>
    <row r="1488" spans="1:8" s="61" customFormat="1" ht="13.15">
      <c r="A1488" s="63"/>
      <c r="B1488" s="191"/>
      <c r="C1488" s="33"/>
      <c r="D1488" s="112"/>
      <c r="E1488" s="324"/>
      <c r="F1488" s="394"/>
      <c r="G1488" s="394"/>
      <c r="H1488" s="313"/>
    </row>
    <row r="1489" spans="1:8" s="61" customFormat="1" ht="153">
      <c r="A1489" s="159" t="s">
        <v>127</v>
      </c>
      <c r="B1489" s="191">
        <v>2</v>
      </c>
      <c r="C1489" s="314" t="s">
        <v>1158</v>
      </c>
      <c r="D1489" s="112"/>
      <c r="E1489" s="324"/>
      <c r="F1489" s="394"/>
      <c r="G1489" s="394"/>
      <c r="H1489" s="313"/>
    </row>
    <row r="1490" spans="1:8" s="61" customFormat="1" ht="13.15">
      <c r="A1490" s="63"/>
      <c r="B1490" s="191"/>
      <c r="C1490" s="33" t="s">
        <v>988</v>
      </c>
      <c r="D1490" s="112" t="s">
        <v>24</v>
      </c>
      <c r="E1490" s="324">
        <v>3</v>
      </c>
      <c r="F1490" s="393"/>
      <c r="G1490" s="386">
        <f>E1490*F1490</f>
        <v>0</v>
      </c>
      <c r="H1490" s="313"/>
    </row>
    <row r="1491" spans="1:8" s="61" customFormat="1" ht="13.15">
      <c r="A1491" s="63"/>
      <c r="B1491" s="191"/>
      <c r="C1491" s="33"/>
      <c r="D1491" s="112"/>
      <c r="E1491" s="324"/>
      <c r="F1491" s="394"/>
      <c r="G1491" s="394"/>
      <c r="H1491" s="313"/>
    </row>
    <row r="1492" spans="1:8" s="61" customFormat="1" ht="195" customHeight="1">
      <c r="A1492" s="159" t="s">
        <v>127</v>
      </c>
      <c r="B1492" s="191">
        <v>3</v>
      </c>
      <c r="C1492" s="314" t="s">
        <v>1033</v>
      </c>
      <c r="D1492" s="36"/>
      <c r="E1492" s="110"/>
      <c r="F1492" s="390"/>
      <c r="G1492" s="390"/>
      <c r="H1492" s="313"/>
    </row>
    <row r="1493" spans="1:8" s="61" customFormat="1" ht="78.75" customHeight="1">
      <c r="A1493" s="63"/>
      <c r="B1493" s="191"/>
      <c r="C1493" s="33" t="s">
        <v>1029</v>
      </c>
      <c r="D1493" s="36" t="s">
        <v>24</v>
      </c>
      <c r="E1493" s="110">
        <v>3</v>
      </c>
      <c r="F1493" s="391"/>
      <c r="G1493" s="333">
        <f>E1493*F1493</f>
        <v>0</v>
      </c>
      <c r="H1493" s="313"/>
    </row>
    <row r="1494" spans="1:8" s="61" customFormat="1" ht="64.150000000000006">
      <c r="A1494" s="63"/>
      <c r="B1494" s="191"/>
      <c r="C1494" s="33" t="s">
        <v>1030</v>
      </c>
      <c r="D1494" s="36" t="s">
        <v>24</v>
      </c>
      <c r="E1494" s="110">
        <v>1</v>
      </c>
      <c r="F1494" s="391"/>
      <c r="G1494" s="333">
        <f>E1494*F1494</f>
        <v>0</v>
      </c>
      <c r="H1494" s="313"/>
    </row>
    <row r="1495" spans="1:8" s="61" customFormat="1" ht="13.15">
      <c r="A1495" s="63"/>
      <c r="B1495" s="191"/>
      <c r="C1495" s="33"/>
      <c r="D1495" s="112"/>
      <c r="E1495" s="110"/>
      <c r="F1495" s="390"/>
      <c r="G1495" s="390"/>
      <c r="H1495" s="313"/>
    </row>
    <row r="1496" spans="1:8" s="61" customFormat="1" ht="216" customHeight="1">
      <c r="A1496" s="159" t="s">
        <v>127</v>
      </c>
      <c r="B1496" s="191">
        <v>4</v>
      </c>
      <c r="C1496" s="314" t="s">
        <v>1034</v>
      </c>
      <c r="D1496" s="112"/>
      <c r="E1496" s="324"/>
      <c r="F1496" s="392"/>
      <c r="G1496" s="392"/>
      <c r="H1496" s="313"/>
    </row>
    <row r="1497" spans="1:8" s="61" customFormat="1" ht="54.75" customHeight="1">
      <c r="A1497" s="63"/>
      <c r="B1497" s="191"/>
      <c r="C1497" s="33" t="s">
        <v>990</v>
      </c>
      <c r="D1497" s="112" t="s">
        <v>24</v>
      </c>
      <c r="E1497" s="324">
        <v>1</v>
      </c>
      <c r="F1497" s="393"/>
      <c r="G1497" s="354">
        <f t="shared" ref="G1497:G1505" si="79">E1497*F1497</f>
        <v>0</v>
      </c>
      <c r="H1497" s="313"/>
    </row>
    <row r="1498" spans="1:8" s="61" customFormat="1" ht="54.75" customHeight="1">
      <c r="A1498" s="63"/>
      <c r="B1498" s="191"/>
      <c r="C1498" s="33" t="s">
        <v>996</v>
      </c>
      <c r="D1498" s="112" t="s">
        <v>24</v>
      </c>
      <c r="E1498" s="324">
        <v>1</v>
      </c>
      <c r="F1498" s="393"/>
      <c r="G1498" s="354">
        <f t="shared" si="79"/>
        <v>0</v>
      </c>
      <c r="H1498" s="313"/>
    </row>
    <row r="1499" spans="1:8" s="61" customFormat="1" ht="54.75" customHeight="1">
      <c r="A1499" s="63"/>
      <c r="B1499" s="191"/>
      <c r="C1499" s="33" t="s">
        <v>995</v>
      </c>
      <c r="D1499" s="112" t="s">
        <v>24</v>
      </c>
      <c r="E1499" s="324">
        <v>1</v>
      </c>
      <c r="F1499" s="393"/>
      <c r="G1499" s="354">
        <f t="shared" si="79"/>
        <v>0</v>
      </c>
      <c r="H1499" s="313"/>
    </row>
    <row r="1500" spans="1:8" s="61" customFormat="1" ht="54.75" customHeight="1">
      <c r="A1500" s="63"/>
      <c r="B1500" s="191"/>
      <c r="C1500" s="33" t="s">
        <v>992</v>
      </c>
      <c r="D1500" s="112" t="s">
        <v>24</v>
      </c>
      <c r="E1500" s="324">
        <v>1</v>
      </c>
      <c r="F1500" s="393"/>
      <c r="G1500" s="354">
        <f t="shared" si="79"/>
        <v>0</v>
      </c>
      <c r="H1500" s="313"/>
    </row>
    <row r="1501" spans="1:8" s="61" customFormat="1" ht="54.75" customHeight="1">
      <c r="A1501" s="63"/>
      <c r="B1501" s="191"/>
      <c r="C1501" s="33" t="s">
        <v>993</v>
      </c>
      <c r="D1501" s="112" t="s">
        <v>24</v>
      </c>
      <c r="E1501" s="324">
        <v>1</v>
      </c>
      <c r="F1501" s="393"/>
      <c r="G1501" s="354">
        <f t="shared" si="79"/>
        <v>0</v>
      </c>
      <c r="H1501" s="313"/>
    </row>
    <row r="1502" spans="1:8" s="61" customFormat="1" ht="54.75" customHeight="1">
      <c r="A1502" s="63"/>
      <c r="B1502" s="191"/>
      <c r="C1502" s="33" t="s">
        <v>994</v>
      </c>
      <c r="D1502" s="112" t="s">
        <v>24</v>
      </c>
      <c r="E1502" s="324">
        <v>1</v>
      </c>
      <c r="F1502" s="393"/>
      <c r="G1502" s="354">
        <f t="shared" si="79"/>
        <v>0</v>
      </c>
      <c r="H1502" s="313"/>
    </row>
    <row r="1503" spans="1:8" s="61" customFormat="1" ht="54.75" customHeight="1">
      <c r="A1503" s="63"/>
      <c r="B1503" s="191"/>
      <c r="C1503" s="33" t="s">
        <v>997</v>
      </c>
      <c r="D1503" s="112" t="s">
        <v>24</v>
      </c>
      <c r="E1503" s="324">
        <v>1</v>
      </c>
      <c r="F1503" s="393"/>
      <c r="G1503" s="354">
        <f t="shared" si="79"/>
        <v>0</v>
      </c>
      <c r="H1503" s="313"/>
    </row>
    <row r="1504" spans="1:8" s="61" customFormat="1" ht="54.75" customHeight="1">
      <c r="A1504" s="63"/>
      <c r="B1504" s="191"/>
      <c r="C1504" s="33" t="s">
        <v>998</v>
      </c>
      <c r="D1504" s="112" t="s">
        <v>24</v>
      </c>
      <c r="E1504" s="324">
        <v>1</v>
      </c>
      <c r="F1504" s="393"/>
      <c r="G1504" s="354">
        <f t="shared" si="79"/>
        <v>0</v>
      </c>
      <c r="H1504" s="313"/>
    </row>
    <row r="1505" spans="1:8" s="61" customFormat="1" ht="54.75" customHeight="1">
      <c r="A1505" s="63"/>
      <c r="B1505" s="191"/>
      <c r="C1505" s="33" t="s">
        <v>999</v>
      </c>
      <c r="D1505" s="112" t="s">
        <v>24</v>
      </c>
      <c r="E1505" s="324">
        <v>1</v>
      </c>
      <c r="F1505" s="393"/>
      <c r="G1505" s="354">
        <f t="shared" si="79"/>
        <v>0</v>
      </c>
      <c r="H1505" s="313"/>
    </row>
    <row r="1506" spans="1:8" s="61" customFormat="1" ht="13.15">
      <c r="A1506" s="63"/>
      <c r="B1506" s="191"/>
      <c r="C1506" s="33"/>
      <c r="D1506" s="112"/>
      <c r="E1506" s="216"/>
      <c r="F1506" s="314"/>
      <c r="G1506" s="314"/>
      <c r="H1506" s="313"/>
    </row>
    <row r="1507" spans="1:8" s="61" customFormat="1" ht="16.5" customHeight="1">
      <c r="A1507" s="159" t="s">
        <v>127</v>
      </c>
      <c r="B1507" s="191">
        <v>5</v>
      </c>
      <c r="C1507" s="314" t="s">
        <v>1918</v>
      </c>
      <c r="D1507" s="112"/>
      <c r="E1507" s="216"/>
      <c r="F1507" s="314"/>
      <c r="G1507" s="314"/>
      <c r="H1507" s="313"/>
    </row>
    <row r="1508" spans="1:8" s="61" customFormat="1" ht="242.25" customHeight="1">
      <c r="A1508" s="63"/>
      <c r="B1508" s="191"/>
      <c r="C1508" s="314" t="s">
        <v>1937</v>
      </c>
      <c r="E1508" s="69"/>
      <c r="F1508" s="394"/>
      <c r="G1508" s="394"/>
      <c r="H1508" s="313"/>
    </row>
    <row r="1509" spans="1:8" s="61" customFormat="1" ht="13.15">
      <c r="A1509" s="63"/>
      <c r="B1509" s="191"/>
      <c r="C1509" s="314"/>
      <c r="D1509" s="36" t="s">
        <v>24</v>
      </c>
      <c r="E1509" s="110">
        <v>1</v>
      </c>
      <c r="F1509" s="393"/>
      <c r="G1509" s="333">
        <f>E1509*F1509</f>
        <v>0</v>
      </c>
      <c r="H1509" s="313"/>
    </row>
    <row r="1510" spans="1:8" s="61" customFormat="1" ht="13.15">
      <c r="A1510" s="63"/>
      <c r="B1510" s="191"/>
      <c r="C1510" s="314"/>
      <c r="D1510" s="112"/>
      <c r="E1510" s="324"/>
      <c r="F1510" s="394"/>
      <c r="G1510" s="394"/>
      <c r="H1510" s="313"/>
    </row>
    <row r="1511" spans="1:8" s="61" customFormat="1" ht="16.5" customHeight="1">
      <c r="A1511" s="159" t="s">
        <v>127</v>
      </c>
      <c r="B1511" s="191">
        <v>6</v>
      </c>
      <c r="C1511" s="314" t="s">
        <v>1000</v>
      </c>
      <c r="D1511" s="112"/>
      <c r="E1511" s="324"/>
      <c r="F1511" s="394"/>
      <c r="G1511" s="394"/>
      <c r="H1511" s="313"/>
    </row>
    <row r="1512" spans="1:8" s="61" customFormat="1" ht="186.75" customHeight="1">
      <c r="A1512" s="63"/>
      <c r="B1512" s="191"/>
      <c r="C1512" s="314" t="s">
        <v>1920</v>
      </c>
      <c r="D1512" s="112"/>
      <c r="E1512" s="324"/>
      <c r="F1512" s="394"/>
      <c r="G1512" s="394"/>
      <c r="H1512" s="313"/>
    </row>
    <row r="1513" spans="1:8" s="61" customFormat="1" ht="225" customHeight="1">
      <c r="A1513" s="63"/>
      <c r="B1513" s="191"/>
      <c r="C1513" s="314" t="s">
        <v>1035</v>
      </c>
      <c r="D1513" s="112"/>
      <c r="E1513" s="324"/>
      <c r="F1513" s="394"/>
      <c r="G1513" s="394"/>
      <c r="H1513" s="313"/>
    </row>
    <row r="1514" spans="1:8" s="61" customFormat="1" ht="25.9">
      <c r="A1514" s="63"/>
      <c r="B1514" s="191"/>
      <c r="C1514" s="33" t="s">
        <v>1007</v>
      </c>
      <c r="D1514" s="112" t="s">
        <v>24</v>
      </c>
      <c r="E1514" s="324">
        <v>2</v>
      </c>
      <c r="F1514" s="393"/>
      <c r="G1514" s="386">
        <f t="shared" ref="G1514:G1519" si="80">E1514*F1514</f>
        <v>0</v>
      </c>
      <c r="H1514" s="313"/>
    </row>
    <row r="1515" spans="1:8" s="61" customFormat="1" ht="42" customHeight="1">
      <c r="A1515" s="63"/>
      <c r="B1515" s="191"/>
      <c r="C1515" s="33" t="s">
        <v>1008</v>
      </c>
      <c r="D1515" s="112" t="s">
        <v>24</v>
      </c>
      <c r="E1515" s="324">
        <v>3</v>
      </c>
      <c r="F1515" s="393"/>
      <c r="G1515" s="386">
        <f t="shared" si="80"/>
        <v>0</v>
      </c>
      <c r="H1515" s="313"/>
    </row>
    <row r="1516" spans="1:8" s="61" customFormat="1" ht="25.9">
      <c r="A1516" s="63"/>
      <c r="B1516" s="191"/>
      <c r="C1516" s="33" t="s">
        <v>1009</v>
      </c>
      <c r="D1516" s="112" t="s">
        <v>24</v>
      </c>
      <c r="E1516" s="324">
        <v>3</v>
      </c>
      <c r="F1516" s="393"/>
      <c r="G1516" s="386">
        <f t="shared" si="80"/>
        <v>0</v>
      </c>
      <c r="H1516" s="313"/>
    </row>
    <row r="1517" spans="1:8" s="61" customFormat="1" ht="25.9">
      <c r="A1517" s="63"/>
      <c r="B1517" s="191"/>
      <c r="C1517" s="33" t="s">
        <v>1010</v>
      </c>
      <c r="D1517" s="112" t="s">
        <v>24</v>
      </c>
      <c r="E1517" s="324">
        <v>2</v>
      </c>
      <c r="F1517" s="393"/>
      <c r="G1517" s="386">
        <f t="shared" si="80"/>
        <v>0</v>
      </c>
      <c r="H1517" s="313"/>
    </row>
    <row r="1518" spans="1:8" s="61" customFormat="1" ht="42.75" customHeight="1">
      <c r="A1518" s="63"/>
      <c r="B1518" s="191"/>
      <c r="C1518" s="33" t="s">
        <v>1011</v>
      </c>
      <c r="D1518" s="112" t="s">
        <v>24</v>
      </c>
      <c r="E1518" s="324">
        <v>1</v>
      </c>
      <c r="F1518" s="393"/>
      <c r="G1518" s="386">
        <f t="shared" si="80"/>
        <v>0</v>
      </c>
      <c r="H1518" s="313"/>
    </row>
    <row r="1519" spans="1:8" s="61" customFormat="1" ht="25.9">
      <c r="A1519" s="63"/>
      <c r="B1519" s="191"/>
      <c r="C1519" s="33" t="s">
        <v>1012</v>
      </c>
      <c r="D1519" s="112" t="s">
        <v>24</v>
      </c>
      <c r="E1519" s="324">
        <v>1</v>
      </c>
      <c r="F1519" s="393"/>
      <c r="G1519" s="386">
        <f t="shared" si="80"/>
        <v>0</v>
      </c>
      <c r="H1519" s="313"/>
    </row>
    <row r="1520" spans="1:8" s="61" customFormat="1" ht="13.15">
      <c r="A1520" s="63"/>
      <c r="B1520" s="191"/>
      <c r="C1520" s="33"/>
      <c r="D1520" s="112"/>
      <c r="E1520" s="324"/>
      <c r="F1520" s="394"/>
      <c r="G1520" s="394"/>
      <c r="H1520" s="313"/>
    </row>
    <row r="1521" spans="1:8" s="61" customFormat="1" ht="166.15">
      <c r="A1521" s="159" t="s">
        <v>127</v>
      </c>
      <c r="B1521" s="191">
        <v>7</v>
      </c>
      <c r="C1521" s="314" t="s">
        <v>1159</v>
      </c>
      <c r="D1521" s="314"/>
      <c r="E1521" s="394"/>
      <c r="F1521" s="394"/>
      <c r="G1521" s="394"/>
      <c r="H1521" s="313"/>
    </row>
    <row r="1522" spans="1:8" s="61" customFormat="1" ht="13.15">
      <c r="A1522" s="63"/>
      <c r="B1522" s="317"/>
      <c r="C1522" s="314" t="s">
        <v>1986</v>
      </c>
      <c r="D1522" s="314" t="s">
        <v>24</v>
      </c>
      <c r="E1522" s="394">
        <v>3</v>
      </c>
      <c r="F1522" s="393"/>
      <c r="G1522" s="333">
        <f>E1522*F1522</f>
        <v>0</v>
      </c>
      <c r="H1522" s="313"/>
    </row>
    <row r="1523" spans="1:8" s="61" customFormat="1" ht="25.5">
      <c r="A1523" s="63"/>
      <c r="B1523" s="317"/>
      <c r="C1523" s="314" t="s">
        <v>1987</v>
      </c>
      <c r="D1523" s="314" t="s">
        <v>24</v>
      </c>
      <c r="E1523" s="394">
        <v>3</v>
      </c>
      <c r="F1523" s="393"/>
      <c r="G1523" s="386">
        <f>E1523*F1523</f>
        <v>0</v>
      </c>
      <c r="H1523" s="313"/>
    </row>
    <row r="1524" spans="1:8" s="61" customFormat="1" ht="13.15">
      <c r="A1524" s="63"/>
      <c r="B1524" s="317"/>
      <c r="C1524" s="321"/>
      <c r="D1524" s="314"/>
      <c r="E1524" s="394"/>
      <c r="F1524" s="394"/>
      <c r="G1524" s="333"/>
      <c r="H1524" s="313"/>
    </row>
    <row r="1525" spans="1:8" s="21" customFormat="1" ht="13.15">
      <c r="A1525" s="117"/>
      <c r="B1525" s="105"/>
      <c r="C1525" s="42"/>
      <c r="D1525" s="42"/>
      <c r="E1525" s="395"/>
      <c r="F1525" s="396"/>
      <c r="G1525" s="396"/>
    </row>
    <row r="1526" spans="1:8" s="129" customFormat="1" ht="13.15">
      <c r="A1526" s="214" t="s">
        <v>127</v>
      </c>
      <c r="B1526" s="191"/>
      <c r="C1526" s="217" t="s">
        <v>108</v>
      </c>
      <c r="D1526" s="220"/>
      <c r="E1526" s="363"/>
      <c r="F1526" s="377"/>
      <c r="G1526" s="389">
        <f>SUM(G1468:G1523)</f>
        <v>0</v>
      </c>
    </row>
    <row r="1527" spans="1:8" s="21" customFormat="1" ht="13.15">
      <c r="A1527" s="117"/>
      <c r="B1527" s="105"/>
      <c r="C1527" s="42"/>
      <c r="D1527" s="105"/>
      <c r="E1527" s="215"/>
      <c r="F1527" s="324"/>
      <c r="G1527" s="324"/>
    </row>
    <row r="1528" spans="1:8" s="21" customFormat="1" ht="13.15">
      <c r="A1528" s="214"/>
      <c r="B1528" s="191"/>
      <c r="C1528" s="48"/>
      <c r="D1528" s="191"/>
      <c r="E1528" s="319"/>
      <c r="F1528" s="324"/>
      <c r="G1528" s="324"/>
    </row>
    <row r="1529" spans="1:8" s="21" customFormat="1" ht="13.15">
      <c r="A1529" s="162" t="s">
        <v>128</v>
      </c>
      <c r="B1529" s="243"/>
      <c r="C1529" s="911" t="s">
        <v>709</v>
      </c>
      <c r="D1529" s="911"/>
      <c r="E1529" s="911"/>
      <c r="F1529" s="911"/>
      <c r="G1529" s="911"/>
    </row>
    <row r="1530" spans="1:8" s="21" customFormat="1">
      <c r="A1530" s="126"/>
      <c r="B1530" s="127"/>
      <c r="C1530" s="899" t="s">
        <v>392</v>
      </c>
      <c r="D1530" s="899"/>
      <c r="E1530" s="899"/>
      <c r="F1530" s="899"/>
      <c r="G1530" s="899"/>
    </row>
    <row r="1531" spans="1:8" s="21" customFormat="1" ht="34.5" customHeight="1">
      <c r="A1531" s="126"/>
      <c r="B1531" s="127"/>
      <c r="C1531" s="899" t="s">
        <v>710</v>
      </c>
      <c r="D1531" s="899"/>
      <c r="E1531" s="899"/>
      <c r="F1531" s="899"/>
      <c r="G1531" s="899"/>
    </row>
    <row r="1532" spans="1:8" s="21" customFormat="1" ht="35.25" customHeight="1">
      <c r="A1532" s="126"/>
      <c r="B1532" s="127"/>
      <c r="C1532" s="899" t="s">
        <v>1023</v>
      </c>
      <c r="D1532" s="899"/>
      <c r="E1532" s="899"/>
      <c r="F1532" s="899"/>
      <c r="G1532" s="899"/>
    </row>
    <row r="1533" spans="1:8" s="129" customFormat="1">
      <c r="A1533" s="126"/>
      <c r="B1533" s="127"/>
      <c r="C1533" s="899" t="s">
        <v>711</v>
      </c>
      <c r="D1533" s="899"/>
      <c r="E1533" s="899"/>
      <c r="F1533" s="899"/>
      <c r="G1533" s="899"/>
    </row>
    <row r="1534" spans="1:8" s="129" customFormat="1">
      <c r="A1534" s="126"/>
      <c r="B1534" s="127"/>
      <c r="C1534" s="899" t="s">
        <v>712</v>
      </c>
      <c r="D1534" s="899"/>
      <c r="E1534" s="899"/>
      <c r="F1534" s="899"/>
      <c r="G1534" s="899"/>
    </row>
    <row r="1535" spans="1:8" s="129" customFormat="1">
      <c r="A1535" s="126"/>
      <c r="B1535" s="127"/>
      <c r="C1535" s="899" t="s">
        <v>713</v>
      </c>
      <c r="D1535" s="899"/>
      <c r="E1535" s="899"/>
      <c r="F1535" s="899"/>
      <c r="G1535" s="899"/>
    </row>
    <row r="1536" spans="1:8" s="129" customFormat="1">
      <c r="A1536" s="126"/>
      <c r="B1536" s="127"/>
      <c r="C1536" s="899" t="s">
        <v>714</v>
      </c>
      <c r="D1536" s="899"/>
      <c r="E1536" s="899"/>
      <c r="F1536" s="899"/>
      <c r="G1536" s="899"/>
    </row>
    <row r="1537" spans="1:7" s="129" customFormat="1">
      <c r="A1537" s="126"/>
      <c r="B1537" s="127"/>
      <c r="C1537" s="899" t="s">
        <v>715</v>
      </c>
      <c r="D1537" s="899"/>
      <c r="E1537" s="899"/>
      <c r="F1537" s="899"/>
      <c r="G1537" s="899"/>
    </row>
    <row r="1538" spans="1:7" s="129" customFormat="1">
      <c r="A1538" s="126"/>
      <c r="B1538" s="127"/>
      <c r="C1538" s="899" t="s">
        <v>716</v>
      </c>
      <c r="D1538" s="899"/>
      <c r="E1538" s="899"/>
      <c r="F1538" s="899"/>
      <c r="G1538" s="899"/>
    </row>
    <row r="1539" spans="1:7" s="129" customFormat="1">
      <c r="A1539" s="126"/>
      <c r="B1539" s="127"/>
      <c r="C1539" s="899" t="s">
        <v>717</v>
      </c>
      <c r="D1539" s="899"/>
      <c r="E1539" s="899"/>
      <c r="F1539" s="899"/>
      <c r="G1539" s="899"/>
    </row>
    <row r="1540" spans="1:7" s="129" customFormat="1">
      <c r="A1540" s="126"/>
      <c r="B1540" s="127"/>
      <c r="C1540" s="899" t="s">
        <v>718</v>
      </c>
      <c r="D1540" s="899"/>
      <c r="E1540" s="899"/>
      <c r="F1540" s="899"/>
      <c r="G1540" s="899"/>
    </row>
    <row r="1541" spans="1:7" s="129" customFormat="1">
      <c r="A1541" s="126"/>
      <c r="B1541" s="127"/>
      <c r="C1541" s="899" t="s">
        <v>719</v>
      </c>
      <c r="D1541" s="899"/>
      <c r="E1541" s="899"/>
      <c r="F1541" s="899"/>
      <c r="G1541" s="899"/>
    </row>
    <row r="1542" spans="1:7" s="129" customFormat="1" ht="25.5" customHeight="1">
      <c r="A1542" s="126"/>
      <c r="B1542" s="127"/>
      <c r="C1542" s="899" t="s">
        <v>720</v>
      </c>
      <c r="D1542" s="899"/>
      <c r="E1542" s="899"/>
      <c r="F1542" s="899"/>
      <c r="G1542" s="899"/>
    </row>
    <row r="1543" spans="1:7" s="129" customFormat="1" ht="14.25" customHeight="1">
      <c r="A1543" s="126"/>
      <c r="B1543" s="127"/>
      <c r="C1543" s="899" t="s">
        <v>721</v>
      </c>
      <c r="D1543" s="899"/>
      <c r="E1543" s="899"/>
      <c r="F1543" s="899"/>
      <c r="G1543" s="899"/>
    </row>
    <row r="1544" spans="1:7" s="129" customFormat="1">
      <c r="A1544" s="126"/>
      <c r="B1544" s="127"/>
      <c r="C1544" s="899" t="s">
        <v>722</v>
      </c>
      <c r="D1544" s="899"/>
      <c r="E1544" s="899"/>
      <c r="F1544" s="899"/>
      <c r="G1544" s="899"/>
    </row>
    <row r="1545" spans="1:7" s="129" customFormat="1">
      <c r="A1545" s="126"/>
      <c r="B1545" s="127"/>
      <c r="C1545" s="899" t="s">
        <v>723</v>
      </c>
      <c r="D1545" s="899"/>
      <c r="E1545" s="899"/>
      <c r="F1545" s="899"/>
      <c r="G1545" s="899"/>
    </row>
    <row r="1546" spans="1:7" s="129" customFormat="1">
      <c r="A1546" s="126"/>
      <c r="B1546" s="127"/>
      <c r="C1546" s="899" t="s">
        <v>724</v>
      </c>
      <c r="D1546" s="899"/>
      <c r="E1546" s="899"/>
      <c r="F1546" s="899"/>
      <c r="G1546" s="899"/>
    </row>
    <row r="1547" spans="1:7" s="129" customFormat="1">
      <c r="A1547" s="126"/>
      <c r="B1547" s="127"/>
      <c r="C1547" s="899" t="s">
        <v>725</v>
      </c>
      <c r="D1547" s="899"/>
      <c r="E1547" s="899"/>
      <c r="F1547" s="899"/>
      <c r="G1547" s="899"/>
    </row>
    <row r="1548" spans="1:7" s="129" customFormat="1">
      <c r="A1548" s="126"/>
      <c r="B1548" s="127"/>
      <c r="C1548" s="899" t="s">
        <v>726</v>
      </c>
      <c r="D1548" s="899"/>
      <c r="E1548" s="899"/>
      <c r="F1548" s="899"/>
      <c r="G1548" s="899"/>
    </row>
    <row r="1549" spans="1:7" s="129" customFormat="1" ht="24.75" customHeight="1">
      <c r="A1549" s="126"/>
      <c r="B1549" s="127"/>
      <c r="C1549" s="899" t="s">
        <v>727</v>
      </c>
      <c r="D1549" s="899"/>
      <c r="E1549" s="899"/>
      <c r="F1549" s="899"/>
      <c r="G1549" s="899"/>
    </row>
    <row r="1550" spans="1:7" s="129" customFormat="1" ht="26.25" customHeight="1">
      <c r="A1550" s="126"/>
      <c r="B1550" s="127"/>
      <c r="C1550" s="899" t="s">
        <v>728</v>
      </c>
      <c r="D1550" s="899"/>
      <c r="E1550" s="899"/>
      <c r="F1550" s="899"/>
      <c r="G1550" s="899"/>
    </row>
    <row r="1551" spans="1:7" s="129" customFormat="1" ht="25.5" customHeight="1">
      <c r="A1551" s="126"/>
      <c r="B1551" s="127"/>
      <c r="C1551" s="899" t="s">
        <v>729</v>
      </c>
      <c r="D1551" s="899"/>
      <c r="E1551" s="899"/>
      <c r="F1551" s="899"/>
      <c r="G1551" s="899"/>
    </row>
    <row r="1552" spans="1:7" s="129" customFormat="1" ht="27" customHeight="1">
      <c r="A1552" s="126"/>
      <c r="B1552" s="127"/>
      <c r="C1552" s="899" t="s">
        <v>730</v>
      </c>
      <c r="D1552" s="899"/>
      <c r="E1552" s="899"/>
      <c r="F1552" s="899"/>
      <c r="G1552" s="899"/>
    </row>
    <row r="1553" spans="1:7" s="129" customFormat="1">
      <c r="A1553" s="126"/>
      <c r="B1553" s="127"/>
      <c r="C1553" s="899" t="s">
        <v>731</v>
      </c>
      <c r="D1553" s="899"/>
      <c r="E1553" s="899"/>
      <c r="F1553" s="899"/>
      <c r="G1553" s="899"/>
    </row>
    <row r="1554" spans="1:7" s="129" customFormat="1">
      <c r="A1554" s="126"/>
      <c r="B1554" s="127"/>
      <c r="C1554" s="899" t="s">
        <v>732</v>
      </c>
      <c r="D1554" s="899"/>
      <c r="E1554" s="899"/>
      <c r="F1554" s="899"/>
      <c r="G1554" s="899"/>
    </row>
    <row r="1555" spans="1:7" s="129" customFormat="1" ht="25.5" customHeight="1">
      <c r="A1555" s="126"/>
      <c r="B1555" s="127"/>
      <c r="C1555" s="899" t="s">
        <v>733</v>
      </c>
      <c r="D1555" s="899"/>
      <c r="E1555" s="899"/>
      <c r="F1555" s="899"/>
      <c r="G1555" s="899"/>
    </row>
    <row r="1556" spans="1:7" s="129" customFormat="1" ht="26.25" customHeight="1">
      <c r="A1556" s="126"/>
      <c r="B1556" s="127"/>
      <c r="C1556" s="899" t="s">
        <v>734</v>
      </c>
      <c r="D1556" s="899"/>
      <c r="E1556" s="899"/>
      <c r="F1556" s="899"/>
      <c r="G1556" s="899"/>
    </row>
    <row r="1557" spans="1:7" s="129" customFormat="1" ht="39" customHeight="1">
      <c r="A1557" s="126"/>
      <c r="B1557" s="127"/>
      <c r="C1557" s="899" t="s">
        <v>735</v>
      </c>
      <c r="D1557" s="899"/>
      <c r="E1557" s="899"/>
      <c r="F1557" s="899"/>
      <c r="G1557" s="899"/>
    </row>
    <row r="1558" spans="1:7" s="129" customFormat="1" ht="27" customHeight="1">
      <c r="A1558" s="126"/>
      <c r="B1558" s="127"/>
      <c r="C1558" s="899" t="s">
        <v>736</v>
      </c>
      <c r="D1558" s="899"/>
      <c r="E1558" s="899"/>
      <c r="F1558" s="899"/>
      <c r="G1558" s="899"/>
    </row>
    <row r="1559" spans="1:7" s="129" customFormat="1" ht="27.75" customHeight="1">
      <c r="A1559" s="126"/>
      <c r="B1559" s="127"/>
      <c r="C1559" s="899" t="s">
        <v>737</v>
      </c>
      <c r="D1559" s="899"/>
      <c r="E1559" s="899"/>
      <c r="F1559" s="899"/>
      <c r="G1559" s="899"/>
    </row>
    <row r="1560" spans="1:7" s="129" customFormat="1" ht="21" customHeight="1">
      <c r="A1560" s="126"/>
      <c r="B1560" s="127"/>
      <c r="C1560" s="899" t="s">
        <v>1024</v>
      </c>
      <c r="D1560" s="899"/>
      <c r="E1560" s="899"/>
      <c r="F1560" s="899"/>
      <c r="G1560" s="899"/>
    </row>
    <row r="1561" spans="1:7" s="129" customFormat="1" ht="21" customHeight="1">
      <c r="A1561" s="126"/>
      <c r="B1561" s="127"/>
      <c r="C1561" s="899" t="s">
        <v>738</v>
      </c>
      <c r="D1561" s="899"/>
      <c r="E1561" s="899"/>
      <c r="F1561" s="899"/>
      <c r="G1561" s="899"/>
    </row>
    <row r="1562" spans="1:7" s="129" customFormat="1" ht="31.5" customHeight="1">
      <c r="A1562" s="126"/>
      <c r="B1562" s="127"/>
      <c r="C1562" s="899" t="s">
        <v>739</v>
      </c>
      <c r="D1562" s="899"/>
      <c r="E1562" s="899"/>
      <c r="F1562" s="899"/>
      <c r="G1562" s="899"/>
    </row>
    <row r="1563" spans="1:7" s="129" customFormat="1" ht="30" customHeight="1">
      <c r="A1563" s="126"/>
      <c r="B1563" s="127"/>
      <c r="C1563" s="899" t="s">
        <v>740</v>
      </c>
      <c r="D1563" s="899"/>
      <c r="E1563" s="899"/>
      <c r="F1563" s="899"/>
      <c r="G1563" s="899"/>
    </row>
    <row r="1564" spans="1:7" s="129" customFormat="1" ht="46.5" customHeight="1">
      <c r="A1564" s="126"/>
      <c r="B1564" s="127"/>
      <c r="C1564" s="899" t="s">
        <v>1025</v>
      </c>
      <c r="D1564" s="899"/>
      <c r="E1564" s="899"/>
      <c r="F1564" s="899"/>
      <c r="G1564" s="899"/>
    </row>
    <row r="1565" spans="1:7" s="129" customFormat="1" ht="35.25" customHeight="1">
      <c r="A1565" s="126"/>
      <c r="B1565" s="127"/>
      <c r="C1565" s="899" t="s">
        <v>1026</v>
      </c>
      <c r="D1565" s="899"/>
      <c r="E1565" s="899"/>
      <c r="F1565" s="899"/>
      <c r="G1565" s="899"/>
    </row>
    <row r="1566" spans="1:7" s="129" customFormat="1" ht="45" customHeight="1">
      <c r="A1566" s="126"/>
      <c r="B1566" s="127"/>
      <c r="C1566" s="899" t="s">
        <v>741</v>
      </c>
      <c r="D1566" s="899"/>
      <c r="E1566" s="899"/>
      <c r="F1566" s="899"/>
      <c r="G1566" s="899"/>
    </row>
    <row r="1567" spans="1:7" s="129" customFormat="1" ht="48" customHeight="1">
      <c r="A1567" s="126"/>
      <c r="B1567" s="127"/>
      <c r="C1567" s="899" t="s">
        <v>1027</v>
      </c>
      <c r="D1567" s="899"/>
      <c r="E1567" s="899"/>
      <c r="F1567" s="899"/>
      <c r="G1567" s="899"/>
    </row>
    <row r="1568" spans="1:7" s="129" customFormat="1" ht="21.75" customHeight="1">
      <c r="A1568" s="126"/>
      <c r="B1568" s="127"/>
      <c r="C1568" s="899" t="s">
        <v>742</v>
      </c>
      <c r="D1568" s="899"/>
      <c r="E1568" s="899"/>
      <c r="F1568" s="899"/>
      <c r="G1568" s="899"/>
    </row>
    <row r="1569" spans="1:7" s="129" customFormat="1" ht="70.5" customHeight="1">
      <c r="A1569" s="126"/>
      <c r="B1569" s="127"/>
      <c r="C1569" s="899" t="s">
        <v>743</v>
      </c>
      <c r="D1569" s="899"/>
      <c r="E1569" s="899"/>
      <c r="F1569" s="899"/>
      <c r="G1569" s="899"/>
    </row>
    <row r="1570" spans="1:7" s="129" customFormat="1" ht="41.25" customHeight="1">
      <c r="A1570" s="126"/>
      <c r="B1570" s="127"/>
      <c r="C1570" s="899" t="s">
        <v>1028</v>
      </c>
      <c r="D1570" s="899"/>
      <c r="E1570" s="899"/>
      <c r="F1570" s="899"/>
      <c r="G1570" s="899"/>
    </row>
    <row r="1571" spans="1:7" s="129" customFormat="1" ht="25.5" customHeight="1">
      <c r="A1571" s="126"/>
      <c r="B1571" s="127"/>
      <c r="C1571" s="899" t="s">
        <v>744</v>
      </c>
      <c r="D1571" s="899"/>
      <c r="E1571" s="899"/>
      <c r="F1571" s="899"/>
      <c r="G1571" s="899"/>
    </row>
    <row r="1572" spans="1:7" s="129" customFormat="1" ht="52.5" customHeight="1">
      <c r="A1572" s="126"/>
      <c r="B1572" s="127"/>
      <c r="C1572" s="899" t="s">
        <v>1032</v>
      </c>
      <c r="D1572" s="899"/>
      <c r="E1572" s="899"/>
      <c r="F1572" s="899"/>
      <c r="G1572" s="899"/>
    </row>
    <row r="1573" spans="1:7" s="21" customFormat="1">
      <c r="A1573" s="121"/>
      <c r="B1573" s="122"/>
      <c r="C1573" s="912"/>
      <c r="D1573" s="912"/>
      <c r="E1573" s="912"/>
      <c r="F1573" s="912"/>
      <c r="G1573" s="912"/>
    </row>
    <row r="1574" spans="1:7" s="129" customFormat="1" ht="33" customHeight="1">
      <c r="A1574" s="126"/>
      <c r="B1574" s="127"/>
      <c r="C1574" s="899" t="s">
        <v>685</v>
      </c>
      <c r="D1574" s="899"/>
      <c r="E1574" s="899"/>
      <c r="F1574" s="899"/>
      <c r="G1574" s="899"/>
    </row>
    <row r="1575" spans="1:7" s="129" customFormat="1" ht="53.25" customHeight="1">
      <c r="A1575" s="126"/>
      <c r="B1575" s="127"/>
      <c r="C1575" s="899" t="s">
        <v>745</v>
      </c>
      <c r="D1575" s="899"/>
      <c r="E1575" s="899"/>
      <c r="F1575" s="899"/>
      <c r="G1575" s="899"/>
    </row>
    <row r="1576" spans="1:7" s="129" customFormat="1" ht="31.5" customHeight="1">
      <c r="A1576" s="126"/>
      <c r="B1576" s="127"/>
      <c r="C1576" s="899" t="s">
        <v>687</v>
      </c>
      <c r="D1576" s="899"/>
      <c r="E1576" s="899"/>
      <c r="F1576" s="899"/>
      <c r="G1576" s="899"/>
    </row>
    <row r="1577" spans="1:7" s="129" customFormat="1" ht="21" customHeight="1">
      <c r="A1577" s="126"/>
      <c r="B1577" s="127"/>
      <c r="C1577" s="899" t="s">
        <v>746</v>
      </c>
      <c r="D1577" s="899"/>
      <c r="E1577" s="899"/>
      <c r="F1577" s="899"/>
      <c r="G1577" s="899"/>
    </row>
    <row r="1578" spans="1:7" s="129" customFormat="1" ht="18.75" customHeight="1">
      <c r="A1578" s="126"/>
      <c r="B1578" s="127"/>
      <c r="C1578" s="899" t="s">
        <v>1031</v>
      </c>
      <c r="D1578" s="899"/>
      <c r="E1578" s="899"/>
      <c r="F1578" s="899"/>
      <c r="G1578" s="899"/>
    </row>
    <row r="1579" spans="1:7" s="129" customFormat="1" ht="20.25" customHeight="1">
      <c r="A1579" s="126"/>
      <c r="B1579" s="127"/>
      <c r="C1579" s="899" t="s">
        <v>747</v>
      </c>
      <c r="D1579" s="899"/>
      <c r="E1579" s="899"/>
      <c r="F1579" s="899"/>
      <c r="G1579" s="899"/>
    </row>
    <row r="1580" spans="1:7" s="129" customFormat="1" ht="44.25" customHeight="1">
      <c r="A1580" s="126"/>
      <c r="B1580" s="127"/>
      <c r="C1580" s="899" t="s">
        <v>748</v>
      </c>
      <c r="D1580" s="899"/>
      <c r="E1580" s="899"/>
      <c r="F1580" s="899"/>
      <c r="G1580" s="899"/>
    </row>
    <row r="1581" spans="1:7" s="21" customFormat="1">
      <c r="A1581" s="121"/>
      <c r="B1581" s="122"/>
      <c r="C1581" s="912"/>
      <c r="D1581" s="912"/>
      <c r="E1581" s="912"/>
      <c r="F1581" s="912"/>
      <c r="G1581" s="912"/>
    </row>
    <row r="1582" spans="1:7" s="129" customFormat="1" ht="44.25" customHeight="1">
      <c r="A1582" s="126"/>
      <c r="B1582" s="127"/>
      <c r="C1582" s="899" t="s">
        <v>749</v>
      </c>
      <c r="D1582" s="899"/>
      <c r="E1582" s="899"/>
      <c r="F1582" s="899"/>
      <c r="G1582" s="899"/>
    </row>
    <row r="1583" spans="1:7" s="129" customFormat="1" ht="33.75" customHeight="1">
      <c r="A1583" s="126"/>
      <c r="B1583" s="127"/>
      <c r="C1583" s="899" t="s">
        <v>750</v>
      </c>
      <c r="D1583" s="899"/>
      <c r="E1583" s="899"/>
      <c r="F1583" s="899"/>
      <c r="G1583" s="899"/>
    </row>
    <row r="1584" spans="1:7" s="129" customFormat="1" ht="57.75" customHeight="1">
      <c r="A1584" s="126"/>
      <c r="B1584" s="127"/>
      <c r="C1584" s="899" t="s">
        <v>751</v>
      </c>
      <c r="D1584" s="899"/>
      <c r="E1584" s="899"/>
      <c r="F1584" s="899"/>
      <c r="G1584" s="899"/>
    </row>
    <row r="1585" spans="1:7" s="129" customFormat="1" ht="44.25" customHeight="1">
      <c r="A1585" s="126"/>
      <c r="B1585" s="127"/>
      <c r="C1585" s="899" t="s">
        <v>752</v>
      </c>
      <c r="D1585" s="899"/>
      <c r="E1585" s="899"/>
      <c r="F1585" s="899"/>
      <c r="G1585" s="899"/>
    </row>
    <row r="1586" spans="1:7" s="129" customFormat="1" ht="33.75" customHeight="1">
      <c r="A1586" s="126"/>
      <c r="B1586" s="127"/>
      <c r="C1586" s="899" t="s">
        <v>753</v>
      </c>
      <c r="D1586" s="899"/>
      <c r="E1586" s="899"/>
      <c r="F1586" s="899"/>
      <c r="G1586" s="899"/>
    </row>
    <row r="1587" spans="1:7" s="129" customFormat="1" ht="23.25" customHeight="1">
      <c r="A1587" s="126"/>
      <c r="B1587" s="127"/>
      <c r="C1587" s="899" t="s">
        <v>381</v>
      </c>
      <c r="D1587" s="899"/>
      <c r="E1587" s="899"/>
      <c r="F1587" s="899"/>
      <c r="G1587" s="899"/>
    </row>
    <row r="1588" spans="1:7" s="129" customFormat="1" ht="21" customHeight="1">
      <c r="A1588" s="126"/>
      <c r="B1588" s="127" t="s">
        <v>140</v>
      </c>
      <c r="C1588" s="899" t="s">
        <v>382</v>
      </c>
      <c r="D1588" s="899"/>
      <c r="E1588" s="899"/>
      <c r="F1588" s="899"/>
      <c r="G1588" s="899"/>
    </row>
    <row r="1589" spans="1:7" s="129" customFormat="1" ht="18.75" customHeight="1">
      <c r="A1589" s="126"/>
      <c r="B1589" s="127" t="s">
        <v>140</v>
      </c>
      <c r="C1589" s="899" t="s">
        <v>383</v>
      </c>
      <c r="D1589" s="899"/>
      <c r="E1589" s="899"/>
      <c r="F1589" s="899"/>
      <c r="G1589" s="899"/>
    </row>
    <row r="1590" spans="1:7" s="129" customFormat="1" ht="27.75" customHeight="1">
      <c r="A1590" s="126"/>
      <c r="B1590" s="127" t="s">
        <v>140</v>
      </c>
      <c r="C1590" s="899" t="s">
        <v>384</v>
      </c>
      <c r="D1590" s="899"/>
      <c r="E1590" s="899"/>
      <c r="F1590" s="899"/>
      <c r="G1590" s="899"/>
    </row>
    <row r="1591" spans="1:7" s="129" customFormat="1" ht="27.75" customHeight="1">
      <c r="A1591" s="126"/>
      <c r="B1591" s="127" t="s">
        <v>140</v>
      </c>
      <c r="C1591" s="899" t="s">
        <v>754</v>
      </c>
      <c r="D1591" s="899"/>
      <c r="E1591" s="899"/>
      <c r="F1591" s="899"/>
      <c r="G1591" s="899"/>
    </row>
    <row r="1592" spans="1:7" s="129" customFormat="1" ht="18.75" customHeight="1">
      <c r="A1592" s="126"/>
      <c r="B1592" s="127" t="s">
        <v>140</v>
      </c>
      <c r="C1592" s="899" t="s">
        <v>755</v>
      </c>
      <c r="D1592" s="899"/>
      <c r="E1592" s="899"/>
      <c r="F1592" s="899"/>
      <c r="G1592" s="899"/>
    </row>
    <row r="1593" spans="1:7" s="129" customFormat="1" ht="27.75" customHeight="1">
      <c r="A1593" s="126"/>
      <c r="B1593" s="127" t="s">
        <v>140</v>
      </c>
      <c r="C1593" s="899" t="s">
        <v>756</v>
      </c>
      <c r="D1593" s="899"/>
      <c r="E1593" s="899"/>
      <c r="F1593" s="899"/>
      <c r="G1593" s="899"/>
    </row>
    <row r="1594" spans="1:7" s="129" customFormat="1" ht="22.5" customHeight="1">
      <c r="A1594" s="126"/>
      <c r="B1594" s="127" t="s">
        <v>140</v>
      </c>
      <c r="C1594" s="899" t="s">
        <v>757</v>
      </c>
      <c r="D1594" s="899"/>
      <c r="E1594" s="899"/>
      <c r="F1594" s="899"/>
      <c r="G1594" s="899"/>
    </row>
    <row r="1595" spans="1:7" s="26" customFormat="1" hidden="1">
      <c r="A1595" s="121"/>
      <c r="B1595" s="122" t="s">
        <v>140</v>
      </c>
      <c r="C1595" s="912" t="s">
        <v>699</v>
      </c>
      <c r="D1595" s="912"/>
      <c r="E1595" s="912"/>
      <c r="F1595" s="912"/>
      <c r="G1595" s="912"/>
    </row>
    <row r="1596" spans="1:7" s="26" customFormat="1" hidden="1">
      <c r="A1596" s="121"/>
      <c r="B1596" s="122" t="s">
        <v>140</v>
      </c>
      <c r="C1596" s="912" t="s">
        <v>385</v>
      </c>
      <c r="D1596" s="912"/>
      <c r="E1596" s="912"/>
      <c r="F1596" s="912"/>
      <c r="G1596" s="912"/>
    </row>
    <row r="1597" spans="1:7" s="26" customFormat="1" hidden="1">
      <c r="A1597" s="121"/>
      <c r="B1597" s="122" t="s">
        <v>140</v>
      </c>
      <c r="C1597" s="912" t="s">
        <v>386</v>
      </c>
      <c r="D1597" s="912"/>
      <c r="E1597" s="912"/>
      <c r="F1597" s="912"/>
      <c r="G1597" s="912"/>
    </row>
    <row r="1598" spans="1:7" s="26" customFormat="1" hidden="1">
      <c r="A1598" s="121"/>
      <c r="B1598" s="122" t="s">
        <v>140</v>
      </c>
      <c r="C1598" s="912" t="s">
        <v>387</v>
      </c>
      <c r="D1598" s="912"/>
      <c r="E1598" s="912"/>
      <c r="F1598" s="912"/>
      <c r="G1598" s="912"/>
    </row>
    <row r="1599" spans="1:7" s="26" customFormat="1" hidden="1">
      <c r="A1599" s="121"/>
      <c r="B1599" s="122" t="s">
        <v>140</v>
      </c>
      <c r="C1599" s="912" t="s">
        <v>388</v>
      </c>
      <c r="D1599" s="912"/>
      <c r="E1599" s="912"/>
      <c r="F1599" s="912"/>
      <c r="G1599" s="912"/>
    </row>
    <row r="1600" spans="1:7" s="26" customFormat="1" hidden="1">
      <c r="A1600" s="121"/>
      <c r="B1600" s="122" t="s">
        <v>140</v>
      </c>
      <c r="C1600" s="912" t="s">
        <v>389</v>
      </c>
      <c r="D1600" s="912"/>
      <c r="E1600" s="912"/>
      <c r="F1600" s="912"/>
      <c r="G1600" s="912"/>
    </row>
    <row r="1601" spans="1:7" s="26" customFormat="1" hidden="1">
      <c r="A1601" s="121"/>
      <c r="B1601" s="122"/>
      <c r="C1601" s="912" t="s">
        <v>390</v>
      </c>
      <c r="D1601" s="912"/>
      <c r="E1601" s="912"/>
      <c r="F1601" s="912"/>
      <c r="G1601" s="912"/>
    </row>
    <row r="1602" spans="1:7" s="26" customFormat="1" ht="13.15" hidden="1">
      <c r="A1602" s="117"/>
      <c r="B1602" s="105"/>
      <c r="C1602" s="204"/>
      <c r="D1602" s="50"/>
      <c r="E1602" s="34"/>
      <c r="F1602" s="29"/>
      <c r="G1602" s="29"/>
    </row>
    <row r="1603" spans="1:7" s="26" customFormat="1" ht="13.15" hidden="1">
      <c r="A1603" s="117"/>
      <c r="B1603" s="105"/>
      <c r="C1603" s="204"/>
      <c r="D1603" s="50"/>
      <c r="E1603" s="34"/>
      <c r="F1603" s="29"/>
      <c r="G1603" s="29"/>
    </row>
    <row r="1604" spans="1:7" s="26" customFormat="1" ht="13.15" hidden="1">
      <c r="A1604" s="117"/>
      <c r="B1604" s="105"/>
      <c r="C1604" s="204"/>
      <c r="D1604" s="50"/>
      <c r="E1604" s="34"/>
      <c r="F1604" s="29"/>
      <c r="G1604" s="29"/>
    </row>
    <row r="1605" spans="1:7" s="26" customFormat="1" ht="13.15" hidden="1">
      <c r="A1605" s="117"/>
      <c r="B1605" s="105"/>
      <c r="C1605" s="204"/>
      <c r="D1605" s="50"/>
      <c r="E1605" s="34"/>
      <c r="F1605" s="29"/>
      <c r="G1605" s="29"/>
    </row>
    <row r="1606" spans="1:7" s="26" customFormat="1" ht="13.15" hidden="1">
      <c r="A1606" s="117"/>
      <c r="B1606" s="105"/>
      <c r="C1606" s="204"/>
      <c r="D1606" s="50"/>
      <c r="E1606" s="34"/>
      <c r="F1606" s="29"/>
      <c r="G1606" s="29"/>
    </row>
    <row r="1607" spans="1:7" s="26" customFormat="1" ht="13.15">
      <c r="A1607" s="117"/>
      <c r="B1607" s="105"/>
      <c r="C1607" s="204"/>
      <c r="D1607" s="50"/>
      <c r="E1607" s="34"/>
      <c r="F1607" s="29"/>
      <c r="G1607" s="29"/>
    </row>
    <row r="1608" spans="1:7" s="26" customFormat="1" ht="13.15">
      <c r="A1608" s="117"/>
      <c r="B1608" s="105"/>
      <c r="C1608" s="204"/>
      <c r="D1608" s="50"/>
      <c r="E1608" s="34"/>
      <c r="F1608" s="29"/>
      <c r="G1608" s="29"/>
    </row>
    <row r="1609" spans="1:7" s="24" customFormat="1" ht="13.15">
      <c r="A1609" s="111" t="s">
        <v>128</v>
      </c>
      <c r="B1609" s="112"/>
      <c r="C1609" s="33" t="s">
        <v>65</v>
      </c>
      <c r="D1609" s="36"/>
      <c r="E1609" s="203"/>
      <c r="F1609" s="29"/>
      <c r="G1609" s="29"/>
    </row>
    <row r="1610" spans="1:7" s="26" customFormat="1" ht="13.15">
      <c r="A1610" s="117"/>
      <c r="B1610" s="105"/>
      <c r="C1610" s="272"/>
      <c r="D1610" s="50"/>
      <c r="E1610" s="34"/>
      <c r="F1610" s="29"/>
      <c r="G1610" s="29"/>
    </row>
    <row r="1611" spans="1:7" s="26" customFormat="1" ht="93.75" customHeight="1">
      <c r="A1611" s="111" t="s">
        <v>128</v>
      </c>
      <c r="B1611" s="139">
        <v>1</v>
      </c>
      <c r="C1611" s="141" t="s">
        <v>1036</v>
      </c>
      <c r="D1611" s="50"/>
      <c r="E1611" s="399"/>
      <c r="F1611" s="324"/>
      <c r="G1611" s="385"/>
    </row>
    <row r="1612" spans="1:7" s="24" customFormat="1" ht="76.5">
      <c r="A1612" s="111"/>
      <c r="B1612" s="112"/>
      <c r="C1612" s="156" t="s">
        <v>116</v>
      </c>
      <c r="E1612" s="324"/>
      <c r="F1612" s="324"/>
      <c r="G1612" s="324"/>
    </row>
    <row r="1613" spans="1:7" s="26" customFormat="1" ht="13.15">
      <c r="A1613" s="117"/>
      <c r="B1613" s="105"/>
      <c r="C1613" s="272"/>
      <c r="D1613" s="36" t="s">
        <v>23</v>
      </c>
      <c r="E1613" s="324">
        <v>29.4</v>
      </c>
      <c r="F1613" s="397"/>
      <c r="G1613" s="386">
        <f>E1613*F1613</f>
        <v>0</v>
      </c>
    </row>
    <row r="1614" spans="1:7" s="26" customFormat="1" ht="13.15">
      <c r="A1614" s="117"/>
      <c r="B1614" s="105"/>
      <c r="C1614" s="272"/>
      <c r="D1614" s="50"/>
      <c r="E1614" s="215"/>
      <c r="F1614" s="324"/>
      <c r="G1614" s="324"/>
    </row>
    <row r="1615" spans="1:7" s="26" customFormat="1" ht="183" customHeight="1">
      <c r="A1615" s="162" t="s">
        <v>128</v>
      </c>
      <c r="B1615" s="112">
        <v>2</v>
      </c>
      <c r="C1615" s="130" t="s">
        <v>1153</v>
      </c>
      <c r="E1615" s="215"/>
      <c r="F1615" s="324"/>
      <c r="G1615" s="324"/>
    </row>
    <row r="1616" spans="1:7" s="21" customFormat="1" ht="13.15">
      <c r="A1616" s="117"/>
      <c r="B1616" s="105"/>
      <c r="C1616" s="272"/>
      <c r="D1616" s="36" t="s">
        <v>23</v>
      </c>
      <c r="E1616" s="324">
        <v>49.1</v>
      </c>
      <c r="F1616" s="397"/>
      <c r="G1616" s="386">
        <f>E1616*F1616</f>
        <v>0</v>
      </c>
    </row>
    <row r="1617" spans="1:7" s="21" customFormat="1" ht="13.15">
      <c r="A1617" s="117"/>
      <c r="B1617" s="105"/>
      <c r="C1617" s="272"/>
      <c r="D1617" s="36"/>
      <c r="E1617" s="324"/>
      <c r="F1617" s="324"/>
      <c r="G1617" s="386"/>
    </row>
    <row r="1618" spans="1:7" s="26" customFormat="1" ht="150.75" customHeight="1">
      <c r="A1618" s="162" t="s">
        <v>128</v>
      </c>
      <c r="B1618" s="112">
        <v>3</v>
      </c>
      <c r="C1618" s="130" t="s">
        <v>1941</v>
      </c>
      <c r="E1618" s="215"/>
      <c r="F1618" s="324"/>
      <c r="G1618" s="324"/>
    </row>
    <row r="1619" spans="1:7" s="21" customFormat="1" ht="13.15">
      <c r="A1619" s="117"/>
      <c r="B1619" s="105"/>
      <c r="C1619" s="272"/>
      <c r="D1619" s="36" t="s">
        <v>24</v>
      </c>
      <c r="E1619" s="324">
        <v>1</v>
      </c>
      <c r="F1619" s="397"/>
      <c r="G1619" s="386">
        <f>E1619*F1619</f>
        <v>0</v>
      </c>
    </row>
    <row r="1620" spans="1:7" s="21" customFormat="1" ht="13.15">
      <c r="A1620" s="117"/>
      <c r="B1620" s="105"/>
      <c r="C1620" s="272"/>
      <c r="D1620" s="36"/>
      <c r="E1620" s="324"/>
      <c r="F1620" s="324"/>
      <c r="G1620" s="386"/>
    </row>
    <row r="1621" spans="1:7" s="21" customFormat="1" ht="13.15">
      <c r="A1621" s="117"/>
      <c r="B1621" s="105"/>
      <c r="C1621" s="272"/>
      <c r="D1621" s="50"/>
      <c r="E1621" s="215"/>
      <c r="F1621" s="324"/>
      <c r="G1621" s="324"/>
    </row>
    <row r="1622" spans="1:7" s="129" customFormat="1" ht="13.15">
      <c r="A1622" s="214" t="s">
        <v>128</v>
      </c>
      <c r="B1622" s="191"/>
      <c r="C1622" s="217" t="s">
        <v>109</v>
      </c>
      <c r="D1622" s="220"/>
      <c r="E1622" s="400"/>
      <c r="F1622" s="398"/>
      <c r="G1622" s="388">
        <f>SUM(G1613:G1619)</f>
        <v>0</v>
      </c>
    </row>
    <row r="1623" spans="1:7" s="21" customFormat="1" ht="13.15">
      <c r="A1623" s="117"/>
      <c r="B1623" s="105"/>
      <c r="C1623" s="204"/>
      <c r="D1623" s="50"/>
      <c r="E1623" s="215"/>
      <c r="F1623" s="324"/>
      <c r="G1623" s="324"/>
    </row>
    <row r="1624" spans="1:7" s="21" customFormat="1" ht="13.15">
      <c r="A1624" s="117"/>
      <c r="B1624" s="105"/>
      <c r="C1624" s="204"/>
      <c r="D1624" s="50"/>
      <c r="E1624" s="34"/>
      <c r="F1624" s="29"/>
      <c r="G1624" s="29"/>
    </row>
    <row r="1625" spans="1:7" s="129" customFormat="1" ht="13.15">
      <c r="A1625" s="162" t="s">
        <v>129</v>
      </c>
      <c r="B1625" s="127"/>
      <c r="C1625" s="911" t="s">
        <v>758</v>
      </c>
      <c r="D1625" s="911"/>
      <c r="E1625" s="911"/>
      <c r="F1625" s="911"/>
      <c r="G1625" s="911"/>
    </row>
    <row r="1626" spans="1:7" s="129" customFormat="1" ht="17.25" customHeight="1">
      <c r="A1626" s="126"/>
      <c r="B1626" s="127"/>
      <c r="C1626" s="899" t="s">
        <v>392</v>
      </c>
      <c r="D1626" s="899"/>
      <c r="E1626" s="899"/>
      <c r="F1626" s="899"/>
      <c r="G1626" s="899"/>
    </row>
    <row r="1627" spans="1:7" s="129" customFormat="1" ht="38.25" customHeight="1">
      <c r="A1627" s="126"/>
      <c r="B1627" s="127"/>
      <c r="C1627" s="899" t="s">
        <v>759</v>
      </c>
      <c r="D1627" s="899"/>
      <c r="E1627" s="899"/>
      <c r="F1627" s="899"/>
      <c r="G1627" s="899"/>
    </row>
    <row r="1628" spans="1:7" s="129" customFormat="1" ht="25.5" customHeight="1">
      <c r="A1628" s="126"/>
      <c r="B1628" s="127"/>
      <c r="C1628" s="899" t="s">
        <v>760</v>
      </c>
      <c r="D1628" s="899"/>
      <c r="E1628" s="899"/>
      <c r="F1628" s="899"/>
      <c r="G1628" s="899"/>
    </row>
    <row r="1629" spans="1:7" s="129" customFormat="1" ht="26.25" customHeight="1">
      <c r="A1629" s="126"/>
      <c r="B1629" s="127"/>
      <c r="C1629" s="899" t="s">
        <v>761</v>
      </c>
      <c r="D1629" s="899"/>
      <c r="E1629" s="899"/>
      <c r="F1629" s="899"/>
      <c r="G1629" s="899"/>
    </row>
    <row r="1630" spans="1:7" s="129" customFormat="1" ht="30.75" customHeight="1">
      <c r="A1630" s="126"/>
      <c r="B1630" s="127"/>
      <c r="C1630" s="899" t="s">
        <v>762</v>
      </c>
      <c r="D1630" s="899"/>
      <c r="E1630" s="899"/>
      <c r="F1630" s="899"/>
      <c r="G1630" s="899"/>
    </row>
    <row r="1631" spans="1:7" s="129" customFormat="1" ht="30.75" customHeight="1">
      <c r="A1631" s="126"/>
      <c r="B1631" s="127"/>
      <c r="C1631" s="899" t="s">
        <v>763</v>
      </c>
      <c r="D1631" s="899"/>
      <c r="E1631" s="899"/>
      <c r="F1631" s="899"/>
      <c r="G1631" s="899"/>
    </row>
    <row r="1632" spans="1:7" s="129" customFormat="1" ht="39.75" customHeight="1">
      <c r="A1632" s="126"/>
      <c r="B1632" s="127"/>
      <c r="C1632" s="899" t="s">
        <v>764</v>
      </c>
      <c r="D1632" s="899"/>
      <c r="E1632" s="899"/>
      <c r="F1632" s="899"/>
      <c r="G1632" s="899"/>
    </row>
    <row r="1633" spans="1:7" s="129" customFormat="1" ht="67.5" customHeight="1">
      <c r="A1633" s="126"/>
      <c r="B1633" s="127"/>
      <c r="C1633" s="899" t="s">
        <v>765</v>
      </c>
      <c r="D1633" s="899"/>
      <c r="E1633" s="899"/>
      <c r="F1633" s="899"/>
      <c r="G1633" s="899"/>
    </row>
    <row r="1634" spans="1:7" s="129" customFormat="1" ht="41.25" customHeight="1">
      <c r="A1634" s="126"/>
      <c r="B1634" s="127"/>
      <c r="C1634" s="899" t="s">
        <v>766</v>
      </c>
      <c r="D1634" s="899"/>
      <c r="E1634" s="899"/>
      <c r="F1634" s="899"/>
      <c r="G1634" s="899"/>
    </row>
    <row r="1635" spans="1:7" s="129" customFormat="1" ht="32.25" customHeight="1">
      <c r="A1635" s="126"/>
      <c r="B1635" s="127"/>
      <c r="C1635" s="899" t="s">
        <v>767</v>
      </c>
      <c r="D1635" s="899"/>
      <c r="E1635" s="899"/>
      <c r="F1635" s="899"/>
      <c r="G1635" s="899"/>
    </row>
    <row r="1636" spans="1:7" s="129" customFormat="1" ht="33" customHeight="1">
      <c r="A1636" s="126"/>
      <c r="B1636" s="127"/>
      <c r="C1636" s="899" t="s">
        <v>768</v>
      </c>
      <c r="D1636" s="899"/>
      <c r="E1636" s="899"/>
      <c r="F1636" s="899"/>
      <c r="G1636" s="899"/>
    </row>
    <row r="1637" spans="1:7" s="129" customFormat="1" ht="20.25" customHeight="1">
      <c r="A1637" s="126"/>
      <c r="B1637" s="127"/>
      <c r="C1637" s="899" t="s">
        <v>769</v>
      </c>
      <c r="D1637" s="899"/>
      <c r="E1637" s="899"/>
      <c r="F1637" s="899"/>
      <c r="G1637" s="899"/>
    </row>
    <row r="1638" spans="1:7" s="49" customFormat="1" ht="63" customHeight="1">
      <c r="A1638" s="126"/>
      <c r="B1638" s="127"/>
      <c r="C1638" s="899" t="s">
        <v>770</v>
      </c>
      <c r="D1638" s="899"/>
      <c r="E1638" s="899"/>
      <c r="F1638" s="899"/>
      <c r="G1638" s="899"/>
    </row>
    <row r="1639" spans="1:7" s="49" customFormat="1" ht="49.5" customHeight="1">
      <c r="A1639" s="126"/>
      <c r="B1639" s="127"/>
      <c r="C1639" s="899" t="s">
        <v>771</v>
      </c>
      <c r="D1639" s="899"/>
      <c r="E1639" s="899"/>
      <c r="F1639" s="899"/>
      <c r="G1639" s="899"/>
    </row>
    <row r="1640" spans="1:7" s="136" customFormat="1" ht="24.75" customHeight="1">
      <c r="A1640" s="126"/>
      <c r="B1640" s="127"/>
      <c r="C1640" s="899" t="s">
        <v>772</v>
      </c>
      <c r="D1640" s="899"/>
      <c r="E1640" s="899"/>
      <c r="F1640" s="899"/>
      <c r="G1640" s="899"/>
    </row>
    <row r="1641" spans="1:7" s="136" customFormat="1" ht="17.25" customHeight="1">
      <c r="A1641" s="126"/>
      <c r="B1641" s="127"/>
      <c r="C1641" s="899" t="s">
        <v>773</v>
      </c>
      <c r="D1641" s="899"/>
      <c r="E1641" s="899"/>
      <c r="F1641" s="899"/>
      <c r="G1641" s="899"/>
    </row>
    <row r="1642" spans="1:7" s="26" customFormat="1">
      <c r="A1642" s="121"/>
      <c r="B1642" s="122"/>
      <c r="C1642" s="123"/>
      <c r="D1642" s="123"/>
      <c r="E1642" s="123"/>
      <c r="F1642" s="125"/>
      <c r="G1642" s="125"/>
    </row>
    <row r="1643" spans="1:7" s="26" customFormat="1" ht="123" customHeight="1">
      <c r="A1643" s="121"/>
      <c r="B1643" s="122"/>
      <c r="C1643" s="123"/>
      <c r="D1643" s="123"/>
      <c r="E1643" s="123"/>
      <c r="F1643" s="125"/>
      <c r="G1643" s="125"/>
    </row>
    <row r="1644" spans="1:7" s="24" customFormat="1" ht="15" customHeight="1">
      <c r="A1644" s="111" t="s">
        <v>129</v>
      </c>
      <c r="B1644" s="106"/>
      <c r="C1644" s="33" t="s">
        <v>57</v>
      </c>
      <c r="D1644" s="36"/>
      <c r="E1644" s="203"/>
      <c r="F1644" s="29"/>
      <c r="G1644" s="29"/>
    </row>
    <row r="1645" spans="1:7" s="24" customFormat="1" ht="13.15">
      <c r="A1645" s="111"/>
      <c r="B1645" s="106"/>
      <c r="C1645" s="33"/>
      <c r="D1645" s="36"/>
      <c r="E1645" s="203"/>
      <c r="F1645" s="29"/>
      <c r="G1645" s="29"/>
    </row>
    <row r="1646" spans="1:7" s="24" customFormat="1" ht="13.15">
      <c r="A1646" s="325"/>
      <c r="B1646" s="156"/>
      <c r="C1646" s="156" t="s">
        <v>94</v>
      </c>
      <c r="D1646" s="156"/>
      <c r="E1646" s="326"/>
      <c r="F1646" s="156"/>
      <c r="G1646" s="156"/>
    </row>
    <row r="1647" spans="1:7" s="24" customFormat="1" ht="102">
      <c r="A1647" s="111" t="s">
        <v>129</v>
      </c>
      <c r="B1647" s="112">
        <v>1</v>
      </c>
      <c r="C1647" s="277" t="s">
        <v>1037</v>
      </c>
      <c r="D1647" s="156"/>
      <c r="E1647" s="375"/>
      <c r="F1647" s="375"/>
      <c r="G1647" s="375"/>
    </row>
    <row r="1648" spans="1:7" s="24" customFormat="1" ht="29.25" customHeight="1">
      <c r="A1648" s="327"/>
      <c r="B1648" s="328"/>
      <c r="C1648" s="277" t="s">
        <v>56</v>
      </c>
      <c r="D1648" s="156"/>
      <c r="E1648" s="375"/>
      <c r="F1648" s="375"/>
      <c r="G1648" s="375"/>
    </row>
    <row r="1649" spans="1:7" s="24" customFormat="1" ht="25.5">
      <c r="A1649" s="111"/>
      <c r="B1649" s="106"/>
      <c r="C1649" s="277" t="s">
        <v>1039</v>
      </c>
      <c r="D1649" s="36"/>
      <c r="E1649" s="110"/>
      <c r="F1649" s="110"/>
      <c r="G1649" s="110"/>
    </row>
    <row r="1650" spans="1:7" s="26" customFormat="1" ht="13.15">
      <c r="A1650" s="117"/>
      <c r="B1650" s="107"/>
      <c r="C1650" s="156" t="s">
        <v>93</v>
      </c>
      <c r="D1650" s="36" t="s">
        <v>2</v>
      </c>
      <c r="E1650" s="110">
        <v>100.17</v>
      </c>
      <c r="F1650" s="360"/>
      <c r="G1650" s="333">
        <f>E1650*F1650</f>
        <v>0</v>
      </c>
    </row>
    <row r="1651" spans="1:7" s="26" customFormat="1" ht="13.15">
      <c r="A1651" s="117"/>
      <c r="B1651" s="107"/>
      <c r="C1651" s="272"/>
      <c r="D1651" s="50"/>
      <c r="E1651" s="44"/>
      <c r="F1651" s="110"/>
      <c r="G1651" s="110"/>
    </row>
    <row r="1652" spans="1:7" s="24" customFormat="1" ht="89.25">
      <c r="A1652" s="111" t="s">
        <v>129</v>
      </c>
      <c r="B1652" s="112">
        <v>2</v>
      </c>
      <c r="C1652" s="277" t="s">
        <v>1041</v>
      </c>
      <c r="D1652" s="156"/>
      <c r="E1652" s="375"/>
      <c r="F1652" s="375"/>
      <c r="G1652" s="375"/>
    </row>
    <row r="1653" spans="1:7" s="24" customFormat="1" ht="29.25" customHeight="1">
      <c r="A1653" s="327"/>
      <c r="B1653" s="328"/>
      <c r="C1653" s="277" t="s">
        <v>56</v>
      </c>
      <c r="D1653" s="156"/>
      <c r="E1653" s="375"/>
      <c r="F1653" s="375"/>
      <c r="G1653" s="375"/>
    </row>
    <row r="1654" spans="1:7" s="24" customFormat="1" ht="25.5">
      <c r="A1654" s="111"/>
      <c r="B1654" s="106"/>
      <c r="C1654" s="277" t="s">
        <v>1039</v>
      </c>
      <c r="D1654" s="36"/>
      <c r="E1654" s="110"/>
      <c r="F1654" s="29"/>
      <c r="G1654" s="29"/>
    </row>
    <row r="1655" spans="1:7" s="26" customFormat="1" ht="13.15">
      <c r="A1655" s="117"/>
      <c r="B1655" s="107"/>
      <c r="C1655" s="156" t="s">
        <v>1988</v>
      </c>
      <c r="D1655" s="36" t="s">
        <v>2</v>
      </c>
      <c r="E1655" s="110">
        <v>654.42999999999995</v>
      </c>
      <c r="F1655" s="352"/>
      <c r="G1655" s="356">
        <f>E1655*F1655</f>
        <v>0</v>
      </c>
    </row>
    <row r="1656" spans="1:7" s="26" customFormat="1" ht="13.15">
      <c r="A1656" s="117"/>
      <c r="B1656" s="107"/>
      <c r="C1656" s="156" t="s">
        <v>1989</v>
      </c>
      <c r="D1656" s="36" t="s">
        <v>23</v>
      </c>
      <c r="E1656" s="110">
        <v>558.76</v>
      </c>
      <c r="F1656" s="352"/>
      <c r="G1656" s="356">
        <f>E1656*F1656</f>
        <v>0</v>
      </c>
    </row>
    <row r="1657" spans="1:7" s="26" customFormat="1" ht="13.15">
      <c r="A1657" s="117"/>
      <c r="B1657" s="107"/>
      <c r="C1657" s="134"/>
      <c r="D1657" s="50"/>
      <c r="E1657" s="44"/>
      <c r="F1657" s="29"/>
      <c r="G1657" s="29"/>
    </row>
    <row r="1658" spans="1:7" s="24" customFormat="1" ht="191.25">
      <c r="A1658" s="111" t="s">
        <v>129</v>
      </c>
      <c r="B1658" s="112">
        <v>3</v>
      </c>
      <c r="C1658" s="329" t="s">
        <v>1119</v>
      </c>
      <c r="D1658" s="156"/>
      <c r="E1658" s="195"/>
      <c r="F1658" s="195"/>
      <c r="G1658" s="195"/>
    </row>
    <row r="1659" spans="1:7" s="24" customFormat="1" ht="29.25" customHeight="1">
      <c r="A1659" s="327"/>
      <c r="B1659" s="328"/>
      <c r="C1659" s="277" t="s">
        <v>56</v>
      </c>
      <c r="D1659" s="156"/>
      <c r="E1659" s="195"/>
      <c r="F1659" s="195"/>
      <c r="G1659" s="195"/>
    </row>
    <row r="1660" spans="1:7" s="24" customFormat="1" ht="25.5">
      <c r="A1660" s="111"/>
      <c r="B1660" s="106"/>
      <c r="C1660" s="277" t="s">
        <v>1039</v>
      </c>
      <c r="D1660" s="36"/>
      <c r="E1660" s="110"/>
      <c r="F1660" s="29"/>
      <c r="G1660" s="29"/>
    </row>
    <row r="1661" spans="1:7" s="26" customFormat="1" ht="13.15">
      <c r="A1661" s="117"/>
      <c r="B1661" s="107"/>
      <c r="C1661" s="156" t="s">
        <v>93</v>
      </c>
      <c r="D1661" s="36" t="s">
        <v>2</v>
      </c>
      <c r="E1661" s="110">
        <v>124</v>
      </c>
      <c r="F1661" s="352"/>
      <c r="G1661" s="356">
        <f>E1661*F1661</f>
        <v>0</v>
      </c>
    </row>
    <row r="1662" spans="1:7" s="26" customFormat="1" ht="41.25" customHeight="1">
      <c r="A1662" s="117"/>
      <c r="B1662" s="107"/>
      <c r="C1662" s="156"/>
      <c r="D1662" s="36"/>
      <c r="E1662" s="110"/>
      <c r="F1662" s="29"/>
      <c r="G1662" s="29"/>
    </row>
    <row r="1663" spans="1:7" s="26" customFormat="1" ht="13.15">
      <c r="A1663" s="117"/>
      <c r="B1663" s="107"/>
      <c r="C1663" s="156" t="s">
        <v>55</v>
      </c>
      <c r="D1663" s="50"/>
      <c r="E1663" s="44"/>
      <c r="F1663" s="29"/>
      <c r="G1663" s="29"/>
    </row>
    <row r="1664" spans="1:7" s="26" customFormat="1" ht="140.25">
      <c r="A1664" s="111" t="s">
        <v>129</v>
      </c>
      <c r="B1664" s="112">
        <v>4</v>
      </c>
      <c r="C1664" s="329" t="s">
        <v>1040</v>
      </c>
      <c r="D1664" s="50"/>
      <c r="E1664" s="44"/>
      <c r="F1664" s="29"/>
      <c r="G1664" s="29"/>
    </row>
    <row r="1665" spans="1:18" s="26" customFormat="1" ht="25.5">
      <c r="A1665" s="117"/>
      <c r="B1665" s="107"/>
      <c r="C1665" s="277" t="s">
        <v>56</v>
      </c>
      <c r="D1665" s="36"/>
      <c r="E1665" s="110"/>
      <c r="F1665" s="29"/>
      <c r="G1665" s="29"/>
    </row>
    <row r="1666" spans="1:18" s="21" customFormat="1" ht="25.5">
      <c r="A1666" s="117"/>
      <c r="B1666" s="107"/>
      <c r="C1666" s="277" t="s">
        <v>1038</v>
      </c>
      <c r="E1666" s="401"/>
      <c r="F1666" s="29"/>
      <c r="G1666" s="29"/>
    </row>
    <row r="1667" spans="1:18" s="21" customFormat="1" ht="13.15">
      <c r="A1667" s="117"/>
      <c r="B1667" s="107"/>
      <c r="C1667" s="277"/>
      <c r="D1667" s="36" t="s">
        <v>2</v>
      </c>
      <c r="E1667" s="110">
        <v>389.62</v>
      </c>
      <c r="F1667" s="352"/>
      <c r="G1667" s="356">
        <f>E1667*F1667</f>
        <v>0</v>
      </c>
    </row>
    <row r="1668" spans="1:18" s="21" customFormat="1" ht="13.5" customHeight="1">
      <c r="A1668" s="117"/>
      <c r="B1668" s="105"/>
      <c r="C1668" s="204"/>
      <c r="D1668" s="50"/>
      <c r="E1668" s="44"/>
      <c r="F1668" s="29"/>
      <c r="G1668" s="29"/>
      <c r="I1668" s="141"/>
      <c r="J1668" s="141"/>
      <c r="K1668" s="141"/>
      <c r="L1668" s="141"/>
      <c r="M1668" s="141"/>
      <c r="N1668" s="141"/>
      <c r="O1668" s="141"/>
      <c r="P1668" s="141"/>
      <c r="Q1668" s="141"/>
      <c r="R1668" s="141"/>
    </row>
    <row r="1669" spans="1:18" s="21" customFormat="1" ht="13.5" customHeight="1">
      <c r="A1669" s="117"/>
      <c r="B1669" s="105"/>
      <c r="C1669" s="204"/>
      <c r="D1669" s="50"/>
      <c r="E1669" s="44"/>
      <c r="F1669" s="29"/>
      <c r="G1669" s="29"/>
      <c r="I1669" s="141"/>
      <c r="J1669" s="141"/>
      <c r="K1669" s="141"/>
      <c r="L1669" s="141"/>
      <c r="M1669" s="141"/>
      <c r="N1669" s="141"/>
      <c r="O1669" s="141"/>
      <c r="P1669" s="141"/>
      <c r="Q1669" s="141"/>
      <c r="R1669" s="141"/>
    </row>
    <row r="1670" spans="1:18" s="21" customFormat="1" ht="13.15">
      <c r="A1670" s="111" t="s">
        <v>129</v>
      </c>
      <c r="B1670" s="112"/>
      <c r="C1670" s="217" t="s">
        <v>110</v>
      </c>
      <c r="D1670" s="218"/>
      <c r="E1670" s="362"/>
      <c r="F1670" s="219"/>
      <c r="G1670" s="322">
        <f>SUM(G1649:G1667)</f>
        <v>0</v>
      </c>
      <c r="I1670" s="141"/>
      <c r="J1670" s="141"/>
      <c r="K1670" s="141"/>
      <c r="L1670" s="141"/>
      <c r="M1670" s="141"/>
      <c r="N1670" s="141"/>
      <c r="O1670" s="141"/>
      <c r="P1670" s="141"/>
      <c r="Q1670" s="141"/>
      <c r="R1670" s="141"/>
    </row>
    <row r="1671" spans="1:18" s="21" customFormat="1" ht="9.75" customHeight="1">
      <c r="A1671" s="117"/>
      <c r="B1671" s="105"/>
      <c r="C1671" s="204"/>
      <c r="D1671" s="50"/>
      <c r="E1671" s="44"/>
      <c r="F1671" s="29"/>
      <c r="G1671" s="29"/>
      <c r="I1671" s="133"/>
      <c r="J1671" s="141"/>
      <c r="K1671" s="141"/>
      <c r="L1671" s="141"/>
      <c r="M1671" s="141"/>
      <c r="N1671" s="141"/>
      <c r="O1671" s="141"/>
      <c r="P1671" s="141"/>
      <c r="Q1671" s="141"/>
      <c r="R1671" s="141"/>
    </row>
    <row r="1672" spans="1:18" s="21" customFormat="1" ht="14.25" customHeight="1">
      <c r="A1672" s="117"/>
      <c r="B1672" s="105"/>
      <c r="C1672" s="204"/>
      <c r="D1672" s="50"/>
      <c r="E1672" s="34"/>
      <c r="F1672" s="29"/>
      <c r="G1672" s="29"/>
      <c r="I1672" s="141"/>
      <c r="J1672" s="141"/>
      <c r="K1672" s="141"/>
      <c r="L1672" s="141"/>
      <c r="M1672" s="141"/>
      <c r="N1672" s="141"/>
      <c r="O1672" s="141"/>
      <c r="P1672" s="141"/>
      <c r="Q1672" s="141"/>
      <c r="R1672" s="141"/>
    </row>
    <row r="1673" spans="1:18" s="129" customFormat="1" ht="13.15">
      <c r="A1673" s="162" t="s">
        <v>130</v>
      </c>
      <c r="B1673" s="127"/>
      <c r="C1673" s="911" t="s">
        <v>774</v>
      </c>
      <c r="D1673" s="911"/>
      <c r="E1673" s="911"/>
      <c r="F1673" s="911"/>
      <c r="G1673" s="911"/>
      <c r="I1673" s="130"/>
      <c r="J1673" s="130"/>
      <c r="K1673" s="130"/>
      <c r="L1673" s="130"/>
      <c r="M1673" s="130"/>
      <c r="N1673" s="130"/>
      <c r="O1673" s="130"/>
      <c r="P1673" s="130"/>
      <c r="Q1673" s="130"/>
      <c r="R1673" s="130"/>
    </row>
    <row r="1674" spans="1:18" s="129" customFormat="1">
      <c r="A1674" s="126"/>
      <c r="B1674" s="127"/>
      <c r="C1674" s="899" t="s">
        <v>392</v>
      </c>
      <c r="D1674" s="899"/>
      <c r="E1674" s="899"/>
      <c r="F1674" s="899"/>
      <c r="G1674" s="899"/>
      <c r="I1674" s="130"/>
      <c r="J1674" s="130"/>
      <c r="K1674" s="130"/>
      <c r="L1674" s="130"/>
      <c r="M1674" s="130"/>
      <c r="N1674" s="130"/>
      <c r="O1674" s="130"/>
      <c r="P1674" s="130"/>
      <c r="Q1674" s="130"/>
      <c r="R1674" s="130"/>
    </row>
    <row r="1675" spans="1:18" s="129" customFormat="1" ht="47.25" customHeight="1">
      <c r="A1675" s="126"/>
      <c r="B1675" s="127"/>
      <c r="C1675" s="899" t="s">
        <v>1047</v>
      </c>
      <c r="D1675" s="899"/>
      <c r="E1675" s="899"/>
      <c r="F1675" s="899"/>
      <c r="G1675" s="899"/>
      <c r="I1675" s="130"/>
      <c r="J1675" s="130"/>
      <c r="K1675" s="130"/>
      <c r="L1675" s="130"/>
      <c r="M1675" s="130"/>
      <c r="N1675" s="130"/>
      <c r="O1675" s="130"/>
      <c r="P1675" s="130"/>
      <c r="Q1675" s="130"/>
      <c r="R1675" s="130"/>
    </row>
    <row r="1676" spans="1:18" s="129" customFormat="1" ht="21" customHeight="1">
      <c r="A1676" s="126"/>
      <c r="B1676" s="127"/>
      <c r="C1676" s="899" t="s">
        <v>1046</v>
      </c>
      <c r="D1676" s="899"/>
      <c r="E1676" s="899"/>
      <c r="F1676" s="899"/>
      <c r="G1676" s="899"/>
      <c r="I1676" s="130"/>
      <c r="J1676" s="130"/>
      <c r="K1676" s="130"/>
      <c r="L1676" s="130"/>
      <c r="M1676" s="130"/>
      <c r="N1676" s="130"/>
      <c r="O1676" s="130"/>
      <c r="P1676" s="130"/>
      <c r="Q1676" s="130"/>
      <c r="R1676" s="130"/>
    </row>
    <row r="1677" spans="1:18" s="129" customFormat="1" ht="57.75" customHeight="1">
      <c r="A1677" s="126"/>
      <c r="B1677" s="127"/>
      <c r="C1677" s="899" t="s">
        <v>775</v>
      </c>
      <c r="D1677" s="899"/>
      <c r="E1677" s="899"/>
      <c r="F1677" s="899"/>
      <c r="G1677" s="899"/>
      <c r="I1677" s="130"/>
      <c r="J1677" s="130"/>
      <c r="K1677" s="130"/>
      <c r="L1677" s="130"/>
      <c r="M1677" s="130"/>
      <c r="N1677" s="130"/>
      <c r="O1677" s="130"/>
      <c r="P1677" s="130"/>
      <c r="Q1677" s="130"/>
      <c r="R1677" s="130"/>
    </row>
    <row r="1678" spans="1:18" s="129" customFormat="1" ht="157.5" customHeight="1">
      <c r="A1678" s="126"/>
      <c r="B1678" s="127"/>
      <c r="C1678" s="899" t="s">
        <v>776</v>
      </c>
      <c r="D1678" s="899"/>
      <c r="E1678" s="899"/>
      <c r="F1678" s="899"/>
      <c r="G1678" s="899"/>
      <c r="I1678" s="130"/>
      <c r="J1678" s="130"/>
      <c r="K1678" s="130"/>
      <c r="L1678" s="130"/>
      <c r="M1678" s="130"/>
      <c r="N1678" s="130"/>
      <c r="O1678" s="130"/>
      <c r="P1678" s="130"/>
      <c r="Q1678" s="130"/>
      <c r="R1678" s="130"/>
    </row>
    <row r="1679" spans="1:18" s="129" customFormat="1">
      <c r="A1679" s="126"/>
      <c r="B1679" s="127"/>
      <c r="C1679" s="899"/>
      <c r="D1679" s="899"/>
      <c r="E1679" s="899"/>
      <c r="F1679" s="899"/>
      <c r="G1679" s="899"/>
      <c r="I1679" s="130"/>
      <c r="J1679" s="130"/>
      <c r="K1679" s="130"/>
      <c r="L1679" s="130"/>
      <c r="M1679" s="130"/>
      <c r="N1679" s="130"/>
      <c r="O1679" s="130"/>
      <c r="P1679" s="130"/>
      <c r="Q1679" s="130"/>
      <c r="R1679" s="130"/>
    </row>
    <row r="1680" spans="1:18" s="129" customFormat="1" ht="52.5" customHeight="1">
      <c r="A1680" s="126"/>
      <c r="B1680" s="127"/>
      <c r="C1680" s="899" t="s">
        <v>777</v>
      </c>
      <c r="D1680" s="899"/>
      <c r="E1680" s="899"/>
      <c r="F1680" s="899"/>
      <c r="G1680" s="899"/>
      <c r="I1680" s="130"/>
      <c r="J1680" s="130"/>
      <c r="K1680" s="130"/>
      <c r="L1680" s="130"/>
      <c r="M1680" s="130"/>
      <c r="N1680" s="130"/>
      <c r="O1680" s="130"/>
      <c r="P1680" s="130"/>
      <c r="Q1680" s="130"/>
      <c r="R1680" s="130"/>
    </row>
    <row r="1681" spans="1:18" s="129" customFormat="1" ht="21" customHeight="1">
      <c r="A1681" s="126"/>
      <c r="B1681" s="127"/>
      <c r="C1681" s="899" t="s">
        <v>778</v>
      </c>
      <c r="D1681" s="899"/>
      <c r="E1681" s="899"/>
      <c r="F1681" s="899"/>
      <c r="G1681" s="899"/>
      <c r="I1681" s="130"/>
      <c r="J1681" s="130"/>
      <c r="K1681" s="130"/>
      <c r="L1681" s="130"/>
      <c r="M1681" s="130"/>
      <c r="N1681" s="130"/>
      <c r="O1681" s="130"/>
      <c r="P1681" s="130"/>
      <c r="Q1681" s="130"/>
      <c r="R1681" s="130"/>
    </row>
    <row r="1682" spans="1:18" s="129" customFormat="1" ht="43.5" customHeight="1">
      <c r="A1682" s="126"/>
      <c r="B1682" s="127"/>
      <c r="C1682" s="899" t="s">
        <v>779</v>
      </c>
      <c r="D1682" s="899"/>
      <c r="E1682" s="899"/>
      <c r="F1682" s="899"/>
      <c r="G1682" s="899"/>
    </row>
    <row r="1683" spans="1:18" s="129" customFormat="1" ht="33.75" customHeight="1">
      <c r="A1683" s="126"/>
      <c r="B1683" s="127"/>
      <c r="C1683" s="899" t="s">
        <v>780</v>
      </c>
      <c r="D1683" s="899"/>
      <c r="E1683" s="899"/>
      <c r="F1683" s="899"/>
      <c r="G1683" s="899"/>
      <c r="I1683" s="130"/>
      <c r="J1683" s="130"/>
      <c r="K1683" s="130"/>
      <c r="L1683" s="130"/>
      <c r="M1683" s="130"/>
      <c r="N1683" s="130"/>
      <c r="O1683" s="130"/>
      <c r="P1683" s="130"/>
      <c r="Q1683" s="130"/>
      <c r="R1683" s="130"/>
    </row>
    <row r="1684" spans="1:18" s="129" customFormat="1" ht="28.5" customHeight="1">
      <c r="A1684" s="126"/>
      <c r="B1684" s="127"/>
      <c r="C1684" s="899" t="s">
        <v>781</v>
      </c>
      <c r="D1684" s="899"/>
      <c r="E1684" s="899"/>
      <c r="F1684" s="899"/>
      <c r="G1684" s="899"/>
      <c r="I1684" s="130"/>
      <c r="J1684" s="130"/>
      <c r="K1684" s="130"/>
      <c r="L1684" s="130"/>
      <c r="M1684" s="130"/>
      <c r="N1684" s="130"/>
      <c r="O1684" s="130"/>
      <c r="P1684" s="130"/>
      <c r="Q1684" s="130"/>
      <c r="R1684" s="130"/>
    </row>
    <row r="1685" spans="1:18" s="129" customFormat="1" ht="27" customHeight="1">
      <c r="A1685" s="126"/>
      <c r="B1685" s="127"/>
      <c r="C1685" s="899" t="s">
        <v>782</v>
      </c>
      <c r="D1685" s="899"/>
      <c r="E1685" s="899"/>
      <c r="F1685" s="899"/>
      <c r="G1685" s="899"/>
      <c r="I1685" s="130"/>
      <c r="J1685" s="130"/>
      <c r="K1685" s="130"/>
      <c r="L1685" s="130"/>
      <c r="M1685" s="130"/>
      <c r="N1685" s="130"/>
      <c r="O1685" s="130"/>
      <c r="P1685" s="130"/>
      <c r="Q1685" s="130"/>
      <c r="R1685" s="130"/>
    </row>
    <row r="1686" spans="1:18" s="26" customFormat="1" ht="11.25" customHeight="1">
      <c r="A1686" s="27"/>
      <c r="B1686" s="105"/>
      <c r="C1686" s="204"/>
      <c r="D1686" s="50"/>
      <c r="E1686" s="34"/>
      <c r="F1686" s="29"/>
      <c r="G1686" s="29"/>
      <c r="I1686" s="28"/>
      <c r="J1686" s="28"/>
      <c r="K1686" s="28"/>
      <c r="L1686" s="28"/>
      <c r="M1686" s="28"/>
      <c r="N1686" s="28"/>
      <c r="O1686" s="28"/>
      <c r="P1686" s="28"/>
    </row>
    <row r="1687" spans="1:18" s="26" customFormat="1" ht="10.5" customHeight="1">
      <c r="A1687" s="27"/>
      <c r="B1687" s="105"/>
      <c r="C1687" s="204"/>
      <c r="D1687" s="50"/>
      <c r="E1687" s="34"/>
      <c r="F1687" s="29"/>
      <c r="G1687" s="29"/>
      <c r="I1687" s="28"/>
      <c r="J1687" s="28"/>
      <c r="K1687" s="28"/>
      <c r="L1687" s="28"/>
      <c r="M1687" s="28"/>
      <c r="N1687" s="28"/>
      <c r="O1687" s="28"/>
      <c r="P1687" s="28"/>
    </row>
    <row r="1688" spans="1:18" s="26" customFormat="1" ht="13.15">
      <c r="A1688" s="111" t="s">
        <v>130</v>
      </c>
      <c r="B1688" s="106"/>
      <c r="C1688" s="33" t="s">
        <v>54</v>
      </c>
      <c r="D1688" s="50"/>
      <c r="E1688" s="34"/>
      <c r="F1688" s="29"/>
      <c r="G1688" s="29"/>
      <c r="I1688" s="28"/>
      <c r="J1688" s="28"/>
      <c r="K1688" s="28"/>
      <c r="L1688" s="28"/>
      <c r="M1688" s="28"/>
      <c r="N1688" s="28"/>
      <c r="O1688" s="28"/>
      <c r="P1688" s="28"/>
    </row>
    <row r="1689" spans="1:18" s="26" customFormat="1" ht="13.5" customHeight="1">
      <c r="A1689" s="117"/>
      <c r="B1689" s="107"/>
      <c r="C1689" s="272"/>
      <c r="D1689" s="50"/>
      <c r="E1689" s="34"/>
      <c r="F1689" s="29"/>
      <c r="G1689" s="29"/>
      <c r="I1689" s="28"/>
      <c r="J1689" s="28"/>
      <c r="K1689" s="28"/>
      <c r="L1689" s="28"/>
      <c r="M1689" s="28"/>
      <c r="N1689" s="28"/>
      <c r="O1689" s="28"/>
      <c r="P1689" s="28"/>
    </row>
    <row r="1690" spans="1:18" s="26" customFormat="1" ht="257.25" customHeight="1">
      <c r="A1690" s="111" t="s">
        <v>130</v>
      </c>
      <c r="B1690" s="112">
        <v>1</v>
      </c>
      <c r="C1690" s="189" t="s">
        <v>1045</v>
      </c>
      <c r="E1690" s="215"/>
      <c r="F1690" s="324"/>
      <c r="G1690" s="324"/>
      <c r="I1690" s="28"/>
      <c r="J1690" s="28"/>
      <c r="K1690" s="28"/>
      <c r="L1690" s="28"/>
      <c r="M1690" s="28"/>
      <c r="N1690" s="28"/>
      <c r="O1690" s="28"/>
      <c r="P1690" s="28"/>
    </row>
    <row r="1691" spans="1:18" s="26" customFormat="1" ht="13.15">
      <c r="A1691" s="117"/>
      <c r="B1691" s="107"/>
      <c r="C1691" s="156" t="s">
        <v>1990</v>
      </c>
      <c r="D1691" s="36" t="s">
        <v>2</v>
      </c>
      <c r="E1691" s="324">
        <v>779.24</v>
      </c>
      <c r="F1691" s="397"/>
      <c r="G1691" s="386">
        <f>E1691*F1691</f>
        <v>0</v>
      </c>
      <c r="I1691" s="28"/>
      <c r="J1691" s="28"/>
      <c r="K1691" s="28"/>
      <c r="L1691" s="28"/>
      <c r="M1691" s="28"/>
      <c r="N1691" s="28"/>
      <c r="O1691" s="28"/>
      <c r="P1691" s="28"/>
    </row>
    <row r="1692" spans="1:18" s="26" customFormat="1" ht="13.15">
      <c r="A1692" s="117"/>
      <c r="B1692" s="107"/>
      <c r="C1692" s="156" t="s">
        <v>1991</v>
      </c>
      <c r="D1692" s="36" t="s">
        <v>23</v>
      </c>
      <c r="E1692" s="324">
        <v>716.82</v>
      </c>
      <c r="F1692" s="397"/>
      <c r="G1692" s="386">
        <f>E1692*F1692</f>
        <v>0</v>
      </c>
      <c r="I1692" s="28"/>
      <c r="J1692" s="28"/>
      <c r="K1692" s="28"/>
      <c r="L1692" s="28"/>
      <c r="M1692" s="28"/>
      <c r="N1692" s="28"/>
      <c r="O1692" s="28"/>
      <c r="P1692" s="28"/>
    </row>
    <row r="1693" spans="1:18" s="26" customFormat="1" ht="13.15">
      <c r="A1693" s="117"/>
      <c r="B1693" s="107"/>
      <c r="C1693" s="330"/>
      <c r="D1693" s="50"/>
      <c r="E1693" s="215"/>
      <c r="F1693" s="324"/>
      <c r="G1693" s="324"/>
      <c r="I1693" s="28"/>
      <c r="J1693" s="28"/>
      <c r="K1693" s="28"/>
      <c r="L1693" s="28"/>
      <c r="M1693" s="28"/>
      <c r="N1693" s="28"/>
      <c r="O1693" s="28"/>
      <c r="P1693" s="28"/>
    </row>
    <row r="1694" spans="1:18" s="24" customFormat="1" ht="153">
      <c r="A1694" s="162" t="s">
        <v>130</v>
      </c>
      <c r="B1694" s="112">
        <v>2</v>
      </c>
      <c r="C1694" s="329" t="s">
        <v>1042</v>
      </c>
      <c r="D1694" s="156"/>
      <c r="E1694" s="375"/>
      <c r="F1694" s="375"/>
      <c r="G1694" s="375"/>
    </row>
    <row r="1695" spans="1:18" s="24" customFormat="1" ht="29.25" customHeight="1">
      <c r="A1695" s="327"/>
      <c r="B1695" s="328"/>
      <c r="C1695" s="277" t="s">
        <v>1043</v>
      </c>
      <c r="D1695" s="156"/>
      <c r="E1695" s="375"/>
      <c r="F1695" s="375"/>
      <c r="G1695" s="375"/>
    </row>
    <row r="1696" spans="1:18" s="24" customFormat="1" ht="25.5">
      <c r="A1696" s="111"/>
      <c r="B1696" s="106"/>
      <c r="C1696" s="277" t="s">
        <v>1044</v>
      </c>
      <c r="D1696" s="36"/>
      <c r="E1696" s="324"/>
      <c r="F1696" s="324"/>
      <c r="G1696" s="324"/>
    </row>
    <row r="1697" spans="1:7" s="26" customFormat="1" ht="13.15">
      <c r="A1697" s="117"/>
      <c r="B1697" s="107"/>
      <c r="C1697" s="156" t="s">
        <v>1988</v>
      </c>
      <c r="D1697" s="36" t="s">
        <v>2</v>
      </c>
      <c r="E1697" s="324">
        <v>62.21</v>
      </c>
      <c r="F1697" s="397"/>
      <c r="G1697" s="386">
        <f>E1697*F1697</f>
        <v>0</v>
      </c>
    </row>
    <row r="1698" spans="1:7" s="26" customFormat="1" ht="13.15">
      <c r="A1698" s="117"/>
      <c r="B1698" s="107"/>
      <c r="C1698" s="156" t="s">
        <v>1989</v>
      </c>
      <c r="D1698" s="36" t="s">
        <v>23</v>
      </c>
      <c r="E1698" s="324">
        <v>29.77</v>
      </c>
      <c r="F1698" s="397"/>
      <c r="G1698" s="386">
        <f>E1698*F1698</f>
        <v>0</v>
      </c>
    </row>
    <row r="1699" spans="1:7" s="21" customFormat="1">
      <c r="A1699" s="27"/>
      <c r="B1699" s="26"/>
      <c r="C1699" s="26"/>
      <c r="D1699" s="26"/>
      <c r="E1699" s="215"/>
      <c r="F1699" s="324"/>
      <c r="G1699" s="324"/>
    </row>
    <row r="1700" spans="1:7" s="21" customFormat="1">
      <c r="A1700" s="27"/>
      <c r="B1700" s="26"/>
      <c r="C1700" s="26"/>
      <c r="D1700" s="26"/>
      <c r="E1700" s="215"/>
      <c r="F1700" s="324"/>
      <c r="G1700" s="324"/>
    </row>
    <row r="1701" spans="1:7" s="129" customFormat="1" ht="13.15">
      <c r="A1701" s="214" t="s">
        <v>130</v>
      </c>
      <c r="B1701" s="191"/>
      <c r="C1701" s="217" t="s">
        <v>111</v>
      </c>
      <c r="D1701" s="220"/>
      <c r="E1701" s="400"/>
      <c r="F1701" s="398"/>
      <c r="G1701" s="388">
        <f>SUM(G1691:G1698)</f>
        <v>0</v>
      </c>
    </row>
    <row r="1702" spans="1:7" s="21" customFormat="1">
      <c r="A1702" s="27"/>
      <c r="B1702" s="26"/>
      <c r="C1702" s="26"/>
      <c r="D1702" s="26"/>
      <c r="E1702" s="215"/>
      <c r="F1702" s="324"/>
      <c r="G1702" s="324"/>
    </row>
    <row r="1703" spans="1:7" s="21" customFormat="1" ht="15.75" customHeight="1">
      <c r="A1703" s="27"/>
      <c r="B1703" s="26"/>
      <c r="C1703" s="26"/>
      <c r="D1703" s="26"/>
      <c r="E1703" s="31"/>
      <c r="F1703" s="24"/>
      <c r="G1703" s="24"/>
    </row>
    <row r="1704" spans="1:7" s="129" customFormat="1" ht="13.15">
      <c r="A1704" s="162" t="s">
        <v>131</v>
      </c>
      <c r="B1704" s="127"/>
      <c r="C1704" s="911" t="s">
        <v>66</v>
      </c>
      <c r="D1704" s="911"/>
      <c r="E1704" s="911"/>
      <c r="F1704" s="911"/>
      <c r="G1704" s="911"/>
    </row>
    <row r="1705" spans="1:7" s="129" customFormat="1">
      <c r="A1705" s="126"/>
      <c r="B1705" s="127"/>
      <c r="C1705" s="899" t="s">
        <v>392</v>
      </c>
      <c r="D1705" s="899"/>
      <c r="E1705" s="899"/>
      <c r="F1705" s="899"/>
      <c r="G1705" s="899"/>
    </row>
    <row r="1706" spans="1:7" s="129" customFormat="1" ht="33" customHeight="1">
      <c r="A1706" s="126"/>
      <c r="B1706" s="127"/>
      <c r="C1706" s="899" t="s">
        <v>783</v>
      </c>
      <c r="D1706" s="899"/>
      <c r="E1706" s="899"/>
      <c r="F1706" s="899"/>
      <c r="G1706" s="899"/>
    </row>
    <row r="1707" spans="1:7" s="129" customFormat="1" ht="16.5" customHeight="1">
      <c r="A1707" s="126"/>
      <c r="B1707" s="127" t="s">
        <v>140</v>
      </c>
      <c r="C1707" s="899" t="s">
        <v>784</v>
      </c>
      <c r="D1707" s="899"/>
      <c r="E1707" s="899"/>
      <c r="F1707" s="899"/>
      <c r="G1707" s="899"/>
    </row>
    <row r="1708" spans="1:7" s="129" customFormat="1" ht="15" customHeight="1">
      <c r="A1708" s="126"/>
      <c r="B1708" s="127" t="s">
        <v>140</v>
      </c>
      <c r="C1708" s="899" t="s">
        <v>785</v>
      </c>
      <c r="D1708" s="899"/>
      <c r="E1708" s="899"/>
      <c r="F1708" s="899"/>
      <c r="G1708" s="899"/>
    </row>
    <row r="1709" spans="1:7" s="129" customFormat="1" ht="20.25" customHeight="1">
      <c r="A1709" s="126"/>
      <c r="B1709" s="127" t="s">
        <v>140</v>
      </c>
      <c r="C1709" s="899" t="s">
        <v>786</v>
      </c>
      <c r="D1709" s="899"/>
      <c r="E1709" s="899"/>
      <c r="F1709" s="899"/>
      <c r="G1709" s="899"/>
    </row>
    <row r="1710" spans="1:7" s="129" customFormat="1" ht="32.25" customHeight="1">
      <c r="A1710" s="126"/>
      <c r="B1710" s="127"/>
      <c r="C1710" s="899" t="s">
        <v>787</v>
      </c>
      <c r="D1710" s="899"/>
      <c r="E1710" s="899"/>
      <c r="F1710" s="899"/>
      <c r="G1710" s="899"/>
    </row>
    <row r="1711" spans="1:7" s="129" customFormat="1" ht="34.5" customHeight="1">
      <c r="A1711" s="126"/>
      <c r="B1711" s="127"/>
      <c r="C1711" s="899" t="s">
        <v>788</v>
      </c>
      <c r="D1711" s="899"/>
      <c r="E1711" s="899"/>
      <c r="F1711" s="899"/>
      <c r="G1711" s="899"/>
    </row>
    <row r="1712" spans="1:7" s="129" customFormat="1" ht="33.75" customHeight="1">
      <c r="A1712" s="126"/>
      <c r="B1712" s="127"/>
      <c r="C1712" s="899" t="s">
        <v>789</v>
      </c>
      <c r="D1712" s="899"/>
      <c r="E1712" s="899"/>
      <c r="F1712" s="899"/>
      <c r="G1712" s="899"/>
    </row>
    <row r="1713" spans="1:7" s="129" customFormat="1" ht="147.75" customHeight="1">
      <c r="A1713" s="126"/>
      <c r="B1713" s="127"/>
      <c r="C1713" s="899" t="s">
        <v>790</v>
      </c>
      <c r="D1713" s="899"/>
      <c r="E1713" s="899"/>
      <c r="F1713" s="899"/>
      <c r="G1713" s="899"/>
    </row>
    <row r="1714" spans="1:7" s="129" customFormat="1" ht="90" customHeight="1">
      <c r="A1714" s="126"/>
      <c r="B1714" s="127"/>
      <c r="C1714" s="899" t="s">
        <v>791</v>
      </c>
      <c r="D1714" s="899"/>
      <c r="E1714" s="899"/>
      <c r="F1714" s="899"/>
      <c r="G1714" s="899"/>
    </row>
    <row r="1715" spans="1:7" s="129" customFormat="1" ht="33" customHeight="1">
      <c r="A1715" s="126"/>
      <c r="B1715" s="127"/>
      <c r="C1715" s="899" t="s">
        <v>792</v>
      </c>
      <c r="D1715" s="899"/>
      <c r="E1715" s="899"/>
      <c r="F1715" s="899"/>
      <c r="G1715" s="899"/>
    </row>
    <row r="1716" spans="1:7" s="129" customFormat="1" ht="18.75" customHeight="1">
      <c r="A1716" s="126"/>
      <c r="B1716" s="127"/>
      <c r="C1716" s="899" t="s">
        <v>793</v>
      </c>
      <c r="D1716" s="899"/>
      <c r="E1716" s="899"/>
      <c r="F1716" s="899"/>
      <c r="G1716" s="899"/>
    </row>
    <row r="1717" spans="1:7" s="129" customFormat="1" ht="15.75" customHeight="1">
      <c r="A1717" s="126"/>
      <c r="B1717" s="127"/>
      <c r="C1717" s="899" t="s">
        <v>794</v>
      </c>
      <c r="D1717" s="899"/>
      <c r="E1717" s="899"/>
      <c r="F1717" s="899"/>
      <c r="G1717" s="899"/>
    </row>
    <row r="1718" spans="1:7" s="129" customFormat="1" ht="22.5" customHeight="1">
      <c r="A1718" s="126"/>
      <c r="B1718" s="127" t="s">
        <v>140</v>
      </c>
      <c r="C1718" s="899" t="s">
        <v>795</v>
      </c>
      <c r="D1718" s="899"/>
      <c r="E1718" s="899"/>
      <c r="F1718" s="899"/>
      <c r="G1718" s="899"/>
    </row>
    <row r="1719" spans="1:7" s="129" customFormat="1" ht="22.5" customHeight="1">
      <c r="A1719" s="126"/>
      <c r="B1719" s="127"/>
      <c r="C1719" s="899" t="s">
        <v>796</v>
      </c>
      <c r="D1719" s="899"/>
      <c r="E1719" s="899"/>
      <c r="F1719" s="899"/>
      <c r="G1719" s="899"/>
    </row>
    <row r="1720" spans="1:7" s="129" customFormat="1" ht="36" customHeight="1">
      <c r="A1720" s="126"/>
      <c r="B1720" s="127" t="s">
        <v>140</v>
      </c>
      <c r="C1720" s="899" t="s">
        <v>797</v>
      </c>
      <c r="D1720" s="899"/>
      <c r="E1720" s="899"/>
      <c r="F1720" s="899"/>
      <c r="G1720" s="899"/>
    </row>
    <row r="1721" spans="1:7" s="129" customFormat="1" ht="14.25" customHeight="1">
      <c r="A1721" s="126"/>
      <c r="B1721" s="127"/>
      <c r="C1721" s="899" t="s">
        <v>798</v>
      </c>
      <c r="D1721" s="899"/>
      <c r="E1721" s="899"/>
      <c r="F1721" s="899"/>
      <c r="G1721" s="899"/>
    </row>
    <row r="1722" spans="1:7" s="129" customFormat="1" ht="32.25" customHeight="1">
      <c r="A1722" s="126"/>
      <c r="B1722" s="127" t="s">
        <v>140</v>
      </c>
      <c r="C1722" s="899" t="s">
        <v>799</v>
      </c>
      <c r="D1722" s="899"/>
      <c r="E1722" s="899"/>
      <c r="F1722" s="899"/>
      <c r="G1722" s="899"/>
    </row>
    <row r="1723" spans="1:7" s="49" customFormat="1">
      <c r="A1723" s="126"/>
      <c r="B1723" s="127"/>
      <c r="C1723" s="899" t="s">
        <v>800</v>
      </c>
      <c r="D1723" s="899"/>
      <c r="E1723" s="899"/>
      <c r="F1723" s="899"/>
      <c r="G1723" s="899"/>
    </row>
    <row r="1724" spans="1:7" s="49" customFormat="1" ht="28.5" customHeight="1">
      <c r="A1724" s="126"/>
      <c r="B1724" s="127" t="s">
        <v>140</v>
      </c>
      <c r="C1724" s="899" t="s">
        <v>801</v>
      </c>
      <c r="D1724" s="899"/>
      <c r="E1724" s="899"/>
      <c r="F1724" s="899"/>
      <c r="G1724" s="899"/>
    </row>
    <row r="1725" spans="1:7" s="49" customFormat="1" ht="33" customHeight="1">
      <c r="A1725" s="126"/>
      <c r="B1725" s="127"/>
      <c r="C1725" s="899" t="s">
        <v>750</v>
      </c>
      <c r="D1725" s="899"/>
      <c r="E1725" s="899"/>
      <c r="F1725" s="899"/>
      <c r="G1725" s="899"/>
    </row>
    <row r="1726" spans="1:7" s="49" customFormat="1" ht="61.5" customHeight="1">
      <c r="A1726" s="126"/>
      <c r="B1726" s="127"/>
      <c r="C1726" s="899" t="s">
        <v>751</v>
      </c>
      <c r="D1726" s="899"/>
      <c r="E1726" s="899"/>
      <c r="F1726" s="899"/>
      <c r="G1726" s="899"/>
    </row>
    <row r="1727" spans="1:7" s="49" customFormat="1" ht="47.25" customHeight="1">
      <c r="A1727" s="126"/>
      <c r="B1727" s="127"/>
      <c r="C1727" s="899" t="s">
        <v>752</v>
      </c>
      <c r="D1727" s="899"/>
      <c r="E1727" s="899"/>
      <c r="F1727" s="899"/>
      <c r="G1727" s="899"/>
    </row>
    <row r="1728" spans="1:7" s="49" customFormat="1" ht="24.75" customHeight="1">
      <c r="A1728" s="126"/>
      <c r="B1728" s="127"/>
      <c r="C1728" s="899" t="s">
        <v>802</v>
      </c>
      <c r="D1728" s="899"/>
      <c r="E1728" s="899"/>
      <c r="F1728" s="899"/>
      <c r="G1728" s="899"/>
    </row>
    <row r="1729" spans="1:7" s="49" customFormat="1" ht="36" customHeight="1">
      <c r="A1729" s="126"/>
      <c r="B1729" s="127"/>
      <c r="C1729" s="899" t="s">
        <v>753</v>
      </c>
      <c r="D1729" s="899"/>
      <c r="E1729" s="899"/>
      <c r="F1729" s="899"/>
      <c r="G1729" s="899"/>
    </row>
    <row r="1730" spans="1:7" s="49" customFormat="1">
      <c r="A1730" s="126"/>
      <c r="B1730" s="127"/>
      <c r="C1730" s="163"/>
      <c r="D1730" s="163"/>
      <c r="E1730" s="163"/>
      <c r="F1730" s="125"/>
      <c r="G1730" s="125"/>
    </row>
    <row r="1731" spans="1:7" s="26" customFormat="1">
      <c r="A1731" s="27"/>
      <c r="E1731" s="31"/>
      <c r="F1731" s="24"/>
      <c r="G1731" s="24"/>
    </row>
    <row r="1732" spans="1:7" s="24" customFormat="1" ht="13.15">
      <c r="A1732" s="111" t="s">
        <v>131</v>
      </c>
      <c r="B1732" s="106"/>
      <c r="C1732" s="33" t="s">
        <v>95</v>
      </c>
      <c r="D1732" s="36"/>
      <c r="E1732" s="203"/>
      <c r="F1732" s="29"/>
      <c r="G1732" s="29"/>
    </row>
    <row r="1733" spans="1:7" s="26" customFormat="1" ht="13.15">
      <c r="A1733" s="117"/>
      <c r="B1733" s="107"/>
      <c r="C1733" s="272"/>
      <c r="D1733" s="50"/>
      <c r="E1733" s="34"/>
      <c r="F1733" s="29"/>
      <c r="G1733" s="29"/>
    </row>
    <row r="1734" spans="1:7" s="24" customFormat="1" ht="38.65">
      <c r="A1734" s="111" t="s">
        <v>131</v>
      </c>
      <c r="B1734" s="112">
        <v>1</v>
      </c>
      <c r="C1734" s="156" t="s">
        <v>1058</v>
      </c>
      <c r="D1734" s="36"/>
      <c r="E1734" s="324"/>
      <c r="F1734" s="300"/>
      <c r="G1734" s="300"/>
    </row>
    <row r="1735" spans="1:7" s="24" customFormat="1" ht="13.15">
      <c r="A1735" s="111"/>
      <c r="B1735" s="106"/>
      <c r="C1735" s="156" t="s">
        <v>87</v>
      </c>
      <c r="D1735" s="36"/>
      <c r="E1735" s="324"/>
      <c r="F1735" s="300"/>
      <c r="G1735" s="300"/>
    </row>
    <row r="1736" spans="1:7" s="24" customFormat="1" ht="38.25">
      <c r="A1736" s="111"/>
      <c r="B1736" s="106"/>
      <c r="C1736" s="156" t="s">
        <v>89</v>
      </c>
      <c r="D1736" s="36"/>
      <c r="E1736" s="324"/>
      <c r="F1736" s="300"/>
      <c r="G1736" s="300"/>
    </row>
    <row r="1737" spans="1:7" s="24" customFormat="1" ht="18.75" customHeight="1">
      <c r="A1737" s="111"/>
      <c r="B1737" s="106"/>
      <c r="C1737" s="156" t="s">
        <v>88</v>
      </c>
      <c r="D1737" s="36"/>
      <c r="E1737" s="324"/>
      <c r="F1737" s="300"/>
      <c r="G1737" s="300"/>
    </row>
    <row r="1738" spans="1:7" s="24" customFormat="1" ht="63.75">
      <c r="A1738" s="111"/>
      <c r="B1738" s="106"/>
      <c r="C1738" s="156" t="s">
        <v>1059</v>
      </c>
      <c r="D1738" s="36"/>
      <c r="E1738" s="324"/>
      <c r="F1738" s="300"/>
      <c r="G1738" s="300"/>
    </row>
    <row r="1739" spans="1:7" s="24" customFormat="1" ht="63.75">
      <c r="A1739" s="111"/>
      <c r="B1739" s="106"/>
      <c r="C1739" s="156" t="s">
        <v>96</v>
      </c>
      <c r="D1739" s="36"/>
      <c r="E1739" s="324"/>
      <c r="F1739" s="300"/>
      <c r="G1739" s="300"/>
    </row>
    <row r="1740" spans="1:7" s="26" customFormat="1" ht="13.15">
      <c r="A1740" s="117"/>
      <c r="B1740" s="107"/>
      <c r="C1740" s="156" t="s">
        <v>1992</v>
      </c>
      <c r="D1740" s="36" t="s">
        <v>2</v>
      </c>
      <c r="E1740" s="324">
        <v>3805.84</v>
      </c>
      <c r="F1740" s="403"/>
      <c r="G1740" s="354">
        <f>E1740*F1740</f>
        <v>0</v>
      </c>
    </row>
    <row r="1741" spans="1:7" s="24" customFormat="1" ht="13.15">
      <c r="A1741" s="111"/>
      <c r="B1741" s="106"/>
      <c r="C1741" s="156" t="s">
        <v>1993</v>
      </c>
      <c r="D1741" s="36" t="s">
        <v>2</v>
      </c>
      <c r="E1741" s="324">
        <v>1586.48</v>
      </c>
      <c r="F1741" s="403"/>
      <c r="G1741" s="354">
        <f>E1741*F1741</f>
        <v>0</v>
      </c>
    </row>
    <row r="1742" spans="1:7" s="24" customFormat="1" ht="13.15">
      <c r="A1742" s="111"/>
      <c r="B1742" s="106"/>
      <c r="C1742" s="33"/>
      <c r="D1742" s="36"/>
      <c r="E1742" s="324"/>
      <c r="F1742" s="300"/>
      <c r="G1742" s="300"/>
    </row>
    <row r="1743" spans="1:7" s="24" customFormat="1" ht="13.15">
      <c r="A1743" s="111"/>
      <c r="B1743" s="106"/>
      <c r="C1743" s="33"/>
      <c r="D1743" s="36"/>
      <c r="E1743" s="324"/>
      <c r="F1743" s="300"/>
      <c r="G1743" s="300"/>
    </row>
    <row r="1744" spans="1:7" s="24" customFormat="1" ht="13.15">
      <c r="A1744" s="111" t="s">
        <v>131</v>
      </c>
      <c r="B1744" s="112"/>
      <c r="C1744" s="217" t="s">
        <v>112</v>
      </c>
      <c r="D1744" s="255"/>
      <c r="E1744" s="398"/>
      <c r="F1744" s="404"/>
      <c r="G1744" s="301">
        <f>SUM(G1740:G1741)</f>
        <v>0</v>
      </c>
    </row>
    <row r="1745" spans="1:7" s="26" customFormat="1" ht="13.15">
      <c r="A1745" s="117"/>
      <c r="B1745" s="105"/>
      <c r="C1745" s="204"/>
      <c r="D1745" s="50"/>
      <c r="E1745" s="215"/>
      <c r="F1745" s="300"/>
      <c r="G1745" s="300"/>
    </row>
    <row r="1746" spans="1:7" s="26" customFormat="1" ht="13.15">
      <c r="A1746" s="117"/>
      <c r="B1746" s="105"/>
      <c r="C1746" s="204"/>
      <c r="D1746" s="50"/>
      <c r="E1746" s="215"/>
      <c r="F1746" s="300"/>
      <c r="G1746" s="300"/>
    </row>
    <row r="1747" spans="1:7" s="140" customFormat="1" ht="13.15">
      <c r="A1747" s="214" t="s">
        <v>1136</v>
      </c>
      <c r="B1747" s="292"/>
      <c r="C1747" s="293" t="s">
        <v>1162</v>
      </c>
      <c r="D1747" s="294"/>
      <c r="E1747" s="407"/>
      <c r="F1747" s="408"/>
      <c r="G1747" s="409">
        <f>G1319+G1431+G1526+G1622+G1670+G1701+G1744</f>
        <v>0</v>
      </c>
    </row>
    <row r="1748" spans="1:7" s="140" customFormat="1" ht="13.15">
      <c r="A1748" s="214"/>
      <c r="B1748" s="295"/>
      <c r="C1748" s="296"/>
      <c r="D1748" s="297"/>
      <c r="E1748" s="410"/>
      <c r="F1748" s="411"/>
      <c r="G1748" s="412"/>
    </row>
    <row r="1749" spans="1:7" s="140" customFormat="1" ht="121.5" customHeight="1">
      <c r="A1749" s="214"/>
      <c r="B1749" s="295"/>
      <c r="C1749" s="296"/>
      <c r="D1749" s="297"/>
      <c r="E1749" s="410"/>
      <c r="F1749" s="411"/>
      <c r="G1749" s="412"/>
    </row>
    <row r="1750" spans="1:7" s="140" customFormat="1" ht="13.15">
      <c r="A1750" s="296" t="s">
        <v>142</v>
      </c>
      <c r="B1750" s="331"/>
      <c r="C1750" s="293" t="s">
        <v>818</v>
      </c>
      <c r="D1750" s="332"/>
      <c r="E1750" s="386"/>
      <c r="F1750" s="354"/>
      <c r="G1750" s="354"/>
    </row>
    <row r="1751" spans="1:7">
      <c r="A1751" s="335"/>
      <c r="B1751" s="336"/>
      <c r="C1751" s="335"/>
      <c r="D1751" s="337"/>
      <c r="E1751" s="405"/>
      <c r="F1751" s="354"/>
      <c r="G1751" s="354"/>
    </row>
    <row r="1752" spans="1:7" ht="13.15">
      <c r="A1752" s="214" t="s">
        <v>1096</v>
      </c>
      <c r="B1752" s="338"/>
      <c r="C1752" s="296" t="s">
        <v>45</v>
      </c>
      <c r="D1752" s="339"/>
      <c r="E1752" s="406"/>
      <c r="F1752" s="354"/>
      <c r="G1752" s="354"/>
    </row>
    <row r="1753" spans="1:7">
      <c r="A1753" s="341"/>
      <c r="B1753" s="338"/>
      <c r="C1753" s="341"/>
      <c r="D1753" s="339"/>
      <c r="E1753" s="406"/>
      <c r="F1753" s="354"/>
      <c r="G1753" s="354"/>
    </row>
    <row r="1754" spans="1:7" ht="41.25" customHeight="1">
      <c r="A1754" s="214" t="s">
        <v>1096</v>
      </c>
      <c r="B1754" s="191">
        <v>1</v>
      </c>
      <c r="C1754" s="296" t="s">
        <v>1097</v>
      </c>
      <c r="D1754" s="339"/>
      <c r="E1754" s="340"/>
      <c r="F1754" s="356"/>
      <c r="G1754" s="356"/>
    </row>
    <row r="1755" spans="1:7" ht="195.75" customHeight="1">
      <c r="A1755" s="214"/>
      <c r="B1755" s="191"/>
      <c r="C1755" s="342" t="s">
        <v>1098</v>
      </c>
      <c r="D1755" s="146"/>
      <c r="E1755" s="399"/>
      <c r="F1755" s="386"/>
      <c r="G1755" s="386"/>
    </row>
    <row r="1756" spans="1:7" ht="13.15">
      <c r="A1756" s="214"/>
      <c r="B1756" s="191"/>
      <c r="C1756" s="342"/>
      <c r="D1756" s="418" t="s">
        <v>1016</v>
      </c>
      <c r="E1756" s="406">
        <v>1</v>
      </c>
      <c r="F1756" s="417"/>
      <c r="G1756" s="386">
        <f>E1756*F1756</f>
        <v>0</v>
      </c>
    </row>
    <row r="1757" spans="1:7">
      <c r="A1757" s="335"/>
      <c r="B1757" s="336"/>
      <c r="C1757" s="335"/>
      <c r="D1757" s="419"/>
      <c r="E1757" s="405"/>
      <c r="F1757" s="386"/>
      <c r="G1757" s="386"/>
    </row>
    <row r="1758" spans="1:7" s="24" customFormat="1" ht="13.15">
      <c r="A1758" s="214" t="s">
        <v>1096</v>
      </c>
      <c r="B1758" s="112"/>
      <c r="C1758" s="217" t="s">
        <v>143</v>
      </c>
      <c r="D1758" s="420"/>
      <c r="E1758" s="398"/>
      <c r="F1758" s="398"/>
      <c r="G1758" s="388">
        <f>G1756</f>
        <v>0</v>
      </c>
    </row>
    <row r="1759" spans="1:7" s="24" customFormat="1" ht="13.15">
      <c r="A1759" s="111"/>
      <c r="B1759" s="112"/>
      <c r="C1759" s="273"/>
      <c r="D1759" s="112"/>
      <c r="E1759" s="324"/>
      <c r="F1759" s="324"/>
      <c r="G1759" s="414"/>
    </row>
    <row r="1760" spans="1:7" s="24" customFormat="1" ht="13.15">
      <c r="A1760" s="111"/>
      <c r="B1760" s="112"/>
      <c r="C1760" s="273"/>
      <c r="D1760" s="112"/>
      <c r="E1760" s="324"/>
      <c r="F1760" s="324"/>
      <c r="G1760" s="414"/>
    </row>
    <row r="1761" spans="1:7" s="140" customFormat="1" ht="13.15">
      <c r="A1761" s="111" t="s">
        <v>1123</v>
      </c>
      <c r="B1761" s="331"/>
      <c r="C1761" s="296" t="s">
        <v>8</v>
      </c>
      <c r="D1761" s="295"/>
      <c r="E1761" s="386"/>
      <c r="F1761" s="386"/>
      <c r="G1761" s="386"/>
    </row>
    <row r="1762" spans="1:7">
      <c r="A1762" s="335"/>
      <c r="B1762" s="336"/>
      <c r="C1762" s="335"/>
      <c r="D1762" s="419"/>
      <c r="E1762" s="405"/>
      <c r="F1762" s="386"/>
      <c r="G1762" s="386"/>
    </row>
    <row r="1763" spans="1:7" ht="243">
      <c r="A1763" s="111" t="s">
        <v>1123</v>
      </c>
      <c r="B1763" s="191">
        <v>1</v>
      </c>
      <c r="C1763" s="342" t="s">
        <v>1099</v>
      </c>
      <c r="D1763" s="295"/>
      <c r="E1763" s="386"/>
      <c r="F1763" s="386"/>
      <c r="G1763" s="386"/>
    </row>
    <row r="1764" spans="1:7" ht="13.15">
      <c r="A1764" s="111"/>
      <c r="B1764" s="191"/>
      <c r="C1764" s="342"/>
      <c r="D1764" s="295" t="s">
        <v>2</v>
      </c>
      <c r="E1764" s="386">
        <v>855.47</v>
      </c>
      <c r="F1764" s="417"/>
      <c r="G1764" s="386">
        <f>E1764*F1764</f>
        <v>0</v>
      </c>
    </row>
    <row r="1765" spans="1:7">
      <c r="A1765" s="335"/>
      <c r="B1765" s="336"/>
      <c r="C1765" s="335"/>
      <c r="D1765" s="419"/>
      <c r="E1765" s="405"/>
      <c r="F1765" s="386"/>
      <c r="G1765" s="386"/>
    </row>
    <row r="1766" spans="1:7" s="178" customFormat="1" ht="93.75" customHeight="1">
      <c r="A1766" s="111" t="s">
        <v>1123</v>
      </c>
      <c r="B1766" s="170">
        <v>2</v>
      </c>
      <c r="C1766" s="158" t="s">
        <v>1108</v>
      </c>
      <c r="D1766" s="170"/>
      <c r="E1766" s="357"/>
      <c r="F1766" s="415"/>
      <c r="G1766" s="415"/>
    </row>
    <row r="1767" spans="1:7" s="57" customFormat="1">
      <c r="A1767" s="55"/>
      <c r="B1767" s="160"/>
      <c r="C1767" s="161"/>
      <c r="D1767" s="157" t="s">
        <v>10</v>
      </c>
      <c r="E1767" s="415">
        <v>38.32</v>
      </c>
      <c r="F1767" s="416"/>
      <c r="G1767" s="386">
        <f>E1767*F1767</f>
        <v>0</v>
      </c>
    </row>
    <row r="1768" spans="1:7" s="57" customFormat="1">
      <c r="A1768" s="55"/>
      <c r="B1768" s="160"/>
      <c r="C1768" s="161"/>
      <c r="D1768" s="344"/>
      <c r="E1768" s="415"/>
      <c r="F1768" s="415"/>
      <c r="G1768" s="415"/>
    </row>
    <row r="1769" spans="1:7" s="140" customFormat="1" ht="76.900000000000006">
      <c r="A1769" s="111" t="s">
        <v>1123</v>
      </c>
      <c r="B1769" s="139">
        <v>3</v>
      </c>
      <c r="C1769" s="156" t="s">
        <v>1109</v>
      </c>
      <c r="D1769" s="139"/>
      <c r="E1769" s="385"/>
      <c r="F1769" s="385"/>
      <c r="G1769" s="385"/>
    </row>
    <row r="1770" spans="1:7" s="140" customFormat="1">
      <c r="A1770" s="138"/>
      <c r="B1770" s="139"/>
      <c r="C1770" s="113" t="s">
        <v>1100</v>
      </c>
      <c r="D1770" s="139" t="s">
        <v>10</v>
      </c>
      <c r="E1770" s="385">
        <v>38</v>
      </c>
      <c r="F1770" s="424"/>
      <c r="G1770" s="386">
        <f>E1770*F1770</f>
        <v>0</v>
      </c>
    </row>
    <row r="1771" spans="1:7" s="140" customFormat="1">
      <c r="A1771" s="138"/>
      <c r="B1771" s="139"/>
      <c r="C1771" s="113"/>
      <c r="D1771" s="139"/>
      <c r="E1771" s="385"/>
      <c r="F1771" s="385"/>
      <c r="G1771" s="385"/>
    </row>
    <row r="1772" spans="1:7" s="140" customFormat="1" ht="76.5">
      <c r="A1772" s="111" t="s">
        <v>1123</v>
      </c>
      <c r="B1772" s="139">
        <v>4</v>
      </c>
      <c r="C1772" s="345" t="s">
        <v>819</v>
      </c>
      <c r="D1772" s="295"/>
      <c r="E1772" s="386"/>
      <c r="F1772" s="386"/>
      <c r="G1772" s="386"/>
    </row>
    <row r="1773" spans="1:7" s="140" customFormat="1">
      <c r="A1773" s="139"/>
      <c r="B1773" s="139"/>
      <c r="C1773" s="345" t="s">
        <v>46</v>
      </c>
      <c r="D1773" s="295"/>
      <c r="E1773" s="386"/>
      <c r="F1773" s="386"/>
      <c r="G1773" s="386"/>
    </row>
    <row r="1774" spans="1:7" s="140" customFormat="1" ht="38.25">
      <c r="A1774" s="139"/>
      <c r="B1774" s="139"/>
      <c r="C1774" s="345" t="s">
        <v>820</v>
      </c>
      <c r="D1774" s="295"/>
      <c r="E1774" s="386"/>
      <c r="F1774" s="386"/>
      <c r="G1774" s="386"/>
    </row>
    <row r="1775" spans="1:7">
      <c r="A1775" s="139"/>
      <c r="B1775" s="139"/>
      <c r="C1775" s="345" t="s">
        <v>1103</v>
      </c>
      <c r="D1775" s="295" t="s">
        <v>2</v>
      </c>
      <c r="E1775" s="386">
        <v>1048.49</v>
      </c>
      <c r="F1775" s="417"/>
      <c r="G1775" s="386">
        <f>E1775*F1775</f>
        <v>0</v>
      </c>
    </row>
    <row r="1776" spans="1:7" ht="14.25">
      <c r="A1776" s="139"/>
      <c r="B1776" s="139"/>
      <c r="C1776" s="335"/>
      <c r="D1776" s="421"/>
      <c r="E1776" s="405"/>
      <c r="F1776" s="386"/>
      <c r="G1776" s="386"/>
    </row>
    <row r="1777" spans="1:7" s="140" customFormat="1" ht="25.5">
      <c r="A1777" s="111" t="s">
        <v>1123</v>
      </c>
      <c r="B1777" s="139">
        <v>5</v>
      </c>
      <c r="C1777" s="345" t="s">
        <v>821</v>
      </c>
      <c r="D1777" s="295"/>
      <c r="E1777" s="386"/>
      <c r="F1777" s="386"/>
      <c r="G1777" s="386"/>
    </row>
    <row r="1778" spans="1:7" s="140" customFormat="1" ht="25.5">
      <c r="A1778" s="139"/>
      <c r="B1778" s="139"/>
      <c r="C1778" s="345" t="s">
        <v>822</v>
      </c>
      <c r="D1778" s="139"/>
      <c r="E1778" s="385"/>
      <c r="F1778" s="386"/>
      <c r="G1778" s="386"/>
    </row>
    <row r="1779" spans="1:7">
      <c r="A1779" s="139"/>
      <c r="B1779" s="139"/>
      <c r="C1779" s="335"/>
      <c r="D1779" s="295" t="s">
        <v>2</v>
      </c>
      <c r="E1779" s="386">
        <v>1048.49</v>
      </c>
      <c r="F1779" s="417"/>
      <c r="G1779" s="386">
        <f>E1779*F1779</f>
        <v>0</v>
      </c>
    </row>
    <row r="1780" spans="1:7">
      <c r="A1780" s="139"/>
      <c r="B1780" s="139"/>
      <c r="C1780" s="335"/>
      <c r="D1780" s="419"/>
      <c r="E1780" s="405"/>
      <c r="F1780" s="386"/>
      <c r="G1780" s="386"/>
    </row>
    <row r="1781" spans="1:7">
      <c r="A1781" s="139"/>
      <c r="B1781" s="139"/>
      <c r="C1781" s="335"/>
      <c r="D1781" s="419"/>
      <c r="E1781" s="405"/>
      <c r="F1781" s="386"/>
      <c r="G1781" s="386"/>
    </row>
    <row r="1782" spans="1:7" s="24" customFormat="1" ht="13.15">
      <c r="A1782" s="214" t="s">
        <v>1123</v>
      </c>
      <c r="B1782" s="112"/>
      <c r="C1782" s="217" t="s">
        <v>100</v>
      </c>
      <c r="D1782" s="420"/>
      <c r="E1782" s="398"/>
      <c r="F1782" s="398"/>
      <c r="G1782" s="388">
        <f>SUM(G1764:G1779)</f>
        <v>0</v>
      </c>
    </row>
    <row r="1783" spans="1:7">
      <c r="A1783" s="139"/>
      <c r="B1783" s="139"/>
      <c r="C1783" s="335"/>
      <c r="D1783" s="419"/>
      <c r="E1783" s="405"/>
      <c r="F1783" s="386"/>
      <c r="G1783" s="386"/>
    </row>
    <row r="1784" spans="1:7">
      <c r="A1784" s="139"/>
      <c r="B1784" s="139"/>
      <c r="C1784" s="335"/>
      <c r="D1784" s="419"/>
      <c r="E1784" s="405"/>
      <c r="F1784" s="386"/>
      <c r="G1784" s="386"/>
    </row>
    <row r="1785" spans="1:7" s="140" customFormat="1" ht="13.15">
      <c r="A1785" s="111" t="s">
        <v>1124</v>
      </c>
      <c r="B1785" s="139"/>
      <c r="C1785" s="296" t="s">
        <v>823</v>
      </c>
      <c r="D1785" s="295"/>
      <c r="E1785" s="386"/>
      <c r="F1785" s="386"/>
      <c r="G1785" s="386"/>
    </row>
    <row r="1786" spans="1:7">
      <c r="A1786" s="139"/>
      <c r="B1786" s="139"/>
      <c r="C1786" s="335"/>
      <c r="D1786" s="419"/>
      <c r="E1786" s="405"/>
      <c r="F1786" s="386"/>
      <c r="G1786" s="386"/>
    </row>
    <row r="1787" spans="1:7" ht="13.15">
      <c r="A1787" s="111" t="s">
        <v>1124</v>
      </c>
      <c r="B1787" s="139">
        <v>1</v>
      </c>
      <c r="C1787" s="345" t="s">
        <v>1138</v>
      </c>
      <c r="D1787" s="419"/>
      <c r="E1787" s="405"/>
      <c r="F1787" s="386"/>
      <c r="G1787" s="386"/>
    </row>
    <row r="1788" spans="1:7" ht="38.25">
      <c r="A1788" s="139"/>
      <c r="B1788" s="139"/>
      <c r="C1788" s="345" t="s">
        <v>1104</v>
      </c>
      <c r="D1788" s="419"/>
      <c r="E1788" s="405"/>
      <c r="F1788" s="386"/>
      <c r="G1788" s="386"/>
    </row>
    <row r="1789" spans="1:7">
      <c r="A1789" s="139"/>
      <c r="B1789" s="139"/>
      <c r="C1789" s="335"/>
      <c r="D1789" s="295" t="s">
        <v>138</v>
      </c>
      <c r="E1789" s="386">
        <v>52</v>
      </c>
      <c r="F1789" s="417"/>
      <c r="G1789" s="386">
        <f>E1789*F1789</f>
        <v>0</v>
      </c>
    </row>
    <row r="1790" spans="1:7">
      <c r="A1790" s="139"/>
      <c r="B1790" s="139"/>
      <c r="C1790" s="335"/>
      <c r="D1790" s="419"/>
      <c r="E1790" s="405"/>
      <c r="F1790" s="386"/>
      <c r="G1790" s="386"/>
    </row>
    <row r="1791" spans="1:7">
      <c r="A1791" s="139"/>
      <c r="B1791" s="139"/>
      <c r="C1791" s="335"/>
      <c r="D1791" s="419"/>
      <c r="E1791" s="405"/>
      <c r="F1791" s="386"/>
      <c r="G1791" s="386"/>
    </row>
    <row r="1792" spans="1:7" s="24" customFormat="1" ht="13.15">
      <c r="A1792" s="214" t="s">
        <v>1124</v>
      </c>
      <c r="B1792" s="112"/>
      <c r="C1792" s="217" t="s">
        <v>1164</v>
      </c>
      <c r="D1792" s="420"/>
      <c r="E1792" s="398"/>
      <c r="F1792" s="398"/>
      <c r="G1792" s="388">
        <f>G1789</f>
        <v>0</v>
      </c>
    </row>
    <row r="1793" spans="1:7" s="24" customFormat="1" ht="13.15">
      <c r="A1793" s="214"/>
      <c r="B1793" s="112"/>
      <c r="C1793" s="273"/>
      <c r="D1793" s="112"/>
      <c r="E1793" s="324"/>
      <c r="F1793" s="324"/>
      <c r="G1793" s="414"/>
    </row>
    <row r="1794" spans="1:7" s="24" customFormat="1" ht="51" customHeight="1">
      <c r="A1794" s="214"/>
      <c r="B1794" s="112"/>
      <c r="C1794" s="273"/>
      <c r="D1794" s="112"/>
      <c r="E1794" s="324"/>
      <c r="F1794" s="324"/>
      <c r="G1794" s="414"/>
    </row>
    <row r="1795" spans="1:7" ht="26.25">
      <c r="A1795" s="111" t="s">
        <v>1125</v>
      </c>
      <c r="B1795" s="139"/>
      <c r="C1795" s="296" t="s">
        <v>1114</v>
      </c>
      <c r="D1795" s="419"/>
      <c r="E1795" s="405"/>
      <c r="F1795" s="386"/>
      <c r="G1795" s="386"/>
    </row>
    <row r="1796" spans="1:7">
      <c r="A1796" s="139"/>
      <c r="B1796" s="139"/>
      <c r="C1796" s="335"/>
      <c r="D1796" s="419"/>
      <c r="E1796" s="405"/>
      <c r="F1796" s="386"/>
      <c r="G1796" s="386"/>
    </row>
    <row r="1797" spans="1:7" ht="38.25">
      <c r="A1797" s="111" t="s">
        <v>1125</v>
      </c>
      <c r="B1797" s="139">
        <v>1</v>
      </c>
      <c r="C1797" s="345" t="s">
        <v>1105</v>
      </c>
      <c r="D1797" s="419"/>
      <c r="E1797" s="405"/>
      <c r="F1797" s="386"/>
      <c r="G1797" s="386"/>
    </row>
    <row r="1798" spans="1:7">
      <c r="A1798" s="139"/>
      <c r="B1798" s="139"/>
      <c r="C1798" s="335"/>
      <c r="D1798" s="295" t="s">
        <v>2</v>
      </c>
      <c r="E1798" s="386">
        <v>76</v>
      </c>
      <c r="F1798" s="417"/>
      <c r="G1798" s="386">
        <f>E1798*F1798</f>
        <v>0</v>
      </c>
    </row>
    <row r="1799" spans="1:7">
      <c r="A1799" s="139"/>
      <c r="B1799" s="139"/>
      <c r="C1799" s="335"/>
      <c r="D1799" s="419"/>
      <c r="E1799" s="405"/>
      <c r="F1799" s="386"/>
      <c r="G1799" s="386"/>
    </row>
    <row r="1800" spans="1:7" ht="201.75" customHeight="1">
      <c r="A1800" s="111" t="s">
        <v>1125</v>
      </c>
      <c r="B1800" s="139">
        <v>2</v>
      </c>
      <c r="C1800" s="345" t="s">
        <v>2094</v>
      </c>
      <c r="D1800" s="419"/>
      <c r="E1800" s="405"/>
      <c r="F1800" s="386"/>
      <c r="G1800" s="386"/>
    </row>
    <row r="1801" spans="1:7">
      <c r="A1801" s="335"/>
      <c r="B1801" s="336"/>
      <c r="C1801" s="335"/>
      <c r="D1801" s="295" t="s">
        <v>10</v>
      </c>
      <c r="E1801" s="386">
        <v>24.14</v>
      </c>
      <c r="F1801" s="417"/>
      <c r="G1801" s="386">
        <f>E1801*F1801</f>
        <v>0</v>
      </c>
    </row>
    <row r="1802" spans="1:7">
      <c r="A1802" s="335"/>
      <c r="B1802" s="336"/>
      <c r="C1802" s="335"/>
      <c r="D1802" s="295"/>
      <c r="E1802" s="386"/>
      <c r="F1802" s="386"/>
      <c r="G1802" s="386"/>
    </row>
    <row r="1803" spans="1:7" s="24" customFormat="1" ht="26.25">
      <c r="A1803" s="214" t="s">
        <v>1125</v>
      </c>
      <c r="B1803" s="112"/>
      <c r="C1803" s="217" t="s">
        <v>1165</v>
      </c>
      <c r="D1803" s="420"/>
      <c r="E1803" s="398"/>
      <c r="F1803" s="398"/>
      <c r="G1803" s="388">
        <f>SUM(G1798:G1801)</f>
        <v>0</v>
      </c>
    </row>
    <row r="1804" spans="1:7" s="24" customFormat="1" ht="13.15">
      <c r="A1804" s="214"/>
      <c r="B1804" s="112"/>
      <c r="C1804" s="273"/>
      <c r="D1804" s="112"/>
      <c r="E1804" s="324"/>
      <c r="F1804" s="324"/>
      <c r="G1804" s="414"/>
    </row>
    <row r="1805" spans="1:7" s="24" customFormat="1" ht="13.15">
      <c r="A1805" s="214"/>
      <c r="B1805" s="112"/>
      <c r="C1805" s="273"/>
      <c r="D1805" s="112"/>
      <c r="E1805" s="324"/>
      <c r="F1805" s="324"/>
      <c r="G1805" s="414"/>
    </row>
    <row r="1806" spans="1:7" ht="13.15">
      <c r="A1806" s="111" t="s">
        <v>1126</v>
      </c>
      <c r="B1806" s="336"/>
      <c r="C1806" s="296" t="s">
        <v>1121</v>
      </c>
      <c r="D1806" s="419"/>
      <c r="E1806" s="405"/>
      <c r="F1806" s="386"/>
      <c r="G1806" s="386"/>
    </row>
    <row r="1807" spans="1:7">
      <c r="A1807" s="335"/>
      <c r="B1807" s="336"/>
      <c r="C1807" s="345"/>
      <c r="D1807" s="419"/>
      <c r="E1807" s="405"/>
      <c r="F1807" s="386"/>
      <c r="G1807" s="386"/>
    </row>
    <row r="1808" spans="1:7" ht="93.75" customHeight="1">
      <c r="A1808" s="111" t="s">
        <v>1126</v>
      </c>
      <c r="B1808" s="139">
        <v>1</v>
      </c>
      <c r="C1808" s="345" t="s">
        <v>2095</v>
      </c>
      <c r="D1808" s="295" t="s">
        <v>23</v>
      </c>
      <c r="E1808" s="386">
        <v>17.100000000000001</v>
      </c>
      <c r="F1808" s="417"/>
      <c r="G1808" s="386">
        <f>E1808*F1808</f>
        <v>0</v>
      </c>
    </row>
    <row r="1809" spans="1:7">
      <c r="A1809" s="335"/>
      <c r="B1809" s="336"/>
      <c r="C1809" s="335"/>
      <c r="D1809" s="419"/>
      <c r="E1809" s="405"/>
      <c r="F1809" s="386"/>
      <c r="G1809" s="386"/>
    </row>
    <row r="1810" spans="1:7" ht="115.5" customHeight="1">
      <c r="A1810" s="111" t="s">
        <v>1126</v>
      </c>
      <c r="B1810" s="139">
        <v>2</v>
      </c>
      <c r="C1810" s="345" t="s">
        <v>1122</v>
      </c>
      <c r="D1810" s="295"/>
      <c r="E1810" s="386"/>
      <c r="F1810" s="386"/>
      <c r="G1810" s="386"/>
    </row>
    <row r="1811" spans="1:7">
      <c r="A1811" s="335"/>
      <c r="B1811" s="336"/>
      <c r="C1811" s="345" t="s">
        <v>1994</v>
      </c>
      <c r="D1811" s="295" t="s">
        <v>2</v>
      </c>
      <c r="E1811" s="386">
        <v>50.17</v>
      </c>
      <c r="F1811" s="417"/>
      <c r="G1811" s="386">
        <f>E1811*F1811</f>
        <v>0</v>
      </c>
    </row>
    <row r="1812" spans="1:7">
      <c r="A1812" s="335"/>
      <c r="B1812" s="336"/>
      <c r="C1812" s="345" t="s">
        <v>1995</v>
      </c>
      <c r="D1812" s="295" t="s">
        <v>10</v>
      </c>
      <c r="E1812" s="386">
        <v>5</v>
      </c>
      <c r="F1812" s="417"/>
      <c r="G1812" s="386">
        <f t="shared" ref="G1812:G1820" si="81">E1812*F1812</f>
        <v>0</v>
      </c>
    </row>
    <row r="1813" spans="1:7">
      <c r="A1813" s="335"/>
      <c r="B1813" s="336"/>
      <c r="C1813" s="345" t="s">
        <v>1996</v>
      </c>
      <c r="D1813" s="295" t="s">
        <v>10</v>
      </c>
      <c r="E1813" s="386">
        <v>15</v>
      </c>
      <c r="F1813" s="417"/>
      <c r="G1813" s="386">
        <f t="shared" si="81"/>
        <v>0</v>
      </c>
    </row>
    <row r="1814" spans="1:7">
      <c r="A1814" s="335"/>
      <c r="B1814" s="336"/>
      <c r="C1814" s="346"/>
      <c r="D1814" s="295"/>
      <c r="E1814" s="386"/>
      <c r="F1814" s="386"/>
      <c r="G1814" s="386"/>
    </row>
    <row r="1815" spans="1:7">
      <c r="A1815" s="335"/>
      <c r="B1815" s="336"/>
      <c r="C1815" s="346"/>
      <c r="D1815" s="295"/>
      <c r="E1815" s="386"/>
      <c r="F1815" s="386"/>
      <c r="G1815" s="386"/>
    </row>
    <row r="1816" spans="1:7" s="24" customFormat="1" ht="13.15">
      <c r="A1816" s="214" t="s">
        <v>1126</v>
      </c>
      <c r="B1816" s="112"/>
      <c r="C1816" s="217" t="s">
        <v>1166</v>
      </c>
      <c r="D1816" s="420"/>
      <c r="E1816" s="398"/>
      <c r="F1816" s="398"/>
      <c r="G1816" s="388">
        <f>SUM(G1808:G1813)</f>
        <v>0</v>
      </c>
    </row>
    <row r="1817" spans="1:7" s="24" customFormat="1" ht="13.15">
      <c r="A1817" s="214"/>
      <c r="B1817" s="112"/>
      <c r="C1817" s="273"/>
      <c r="D1817" s="112"/>
      <c r="E1817" s="324"/>
      <c r="F1817" s="324"/>
      <c r="G1817" s="414"/>
    </row>
    <row r="1818" spans="1:7" s="24" customFormat="1" ht="13.15">
      <c r="A1818" s="214"/>
      <c r="B1818" s="112"/>
      <c r="C1818" s="273"/>
      <c r="D1818" s="112"/>
      <c r="E1818" s="203"/>
      <c r="F1818" s="29"/>
      <c r="G1818" s="343"/>
    </row>
    <row r="1819" spans="1:7" ht="13.15">
      <c r="A1819" s="214" t="s">
        <v>1156</v>
      </c>
      <c r="B1819" s="336"/>
      <c r="C1819" s="296" t="s">
        <v>1160</v>
      </c>
      <c r="D1819" s="332"/>
      <c r="E1819" s="333"/>
      <c r="F1819" s="334"/>
      <c r="G1819" s="172"/>
    </row>
    <row r="1820" spans="1:7" ht="76.5">
      <c r="A1820" s="111" t="s">
        <v>1156</v>
      </c>
      <c r="B1820" s="139">
        <v>1</v>
      </c>
      <c r="C1820" s="345" t="s">
        <v>1157</v>
      </c>
      <c r="D1820" s="332" t="s">
        <v>1016</v>
      </c>
      <c r="E1820" s="386">
        <v>1</v>
      </c>
      <c r="F1820" s="417"/>
      <c r="G1820" s="386">
        <f t="shared" si="81"/>
        <v>0</v>
      </c>
    </row>
    <row r="1821" spans="1:7">
      <c r="A1821" s="347"/>
      <c r="B1821" s="348"/>
      <c r="C1821" s="348"/>
      <c r="D1821" s="349"/>
      <c r="E1821" s="425"/>
      <c r="F1821" s="426"/>
      <c r="G1821" s="426"/>
    </row>
    <row r="1822" spans="1:7" s="24" customFormat="1" ht="13.15">
      <c r="A1822" s="214" t="s">
        <v>1156</v>
      </c>
      <c r="B1822" s="112"/>
      <c r="C1822" s="217" t="s">
        <v>1167</v>
      </c>
      <c r="D1822" s="255"/>
      <c r="E1822" s="398"/>
      <c r="F1822" s="398"/>
      <c r="G1822" s="388">
        <f>G1820</f>
        <v>0</v>
      </c>
    </row>
    <row r="1823" spans="1:7" s="24" customFormat="1" ht="13.15">
      <c r="A1823" s="214"/>
      <c r="B1823" s="112"/>
      <c r="C1823" s="273"/>
      <c r="D1823" s="36"/>
      <c r="E1823" s="324"/>
      <c r="F1823" s="324"/>
      <c r="G1823" s="414"/>
    </row>
    <row r="1824" spans="1:7" s="24" customFormat="1" ht="13.15">
      <c r="A1824" s="214"/>
      <c r="B1824" s="112"/>
      <c r="C1824" s="273"/>
      <c r="D1824" s="36"/>
      <c r="E1824" s="324"/>
      <c r="F1824" s="324"/>
      <c r="G1824" s="414"/>
    </row>
    <row r="1825" spans="1:7" s="140" customFormat="1" ht="13.15">
      <c r="A1825" s="214" t="s">
        <v>1161</v>
      </c>
      <c r="B1825" s="292"/>
      <c r="C1825" s="293" t="s">
        <v>824</v>
      </c>
      <c r="D1825" s="294"/>
      <c r="E1825" s="427"/>
      <c r="F1825" s="427"/>
      <c r="G1825" s="428">
        <f>G1758+G1782+G1792+G1803+G1816+G1822</f>
        <v>0</v>
      </c>
    </row>
    <row r="1826" spans="1:7" s="26" customFormat="1" ht="13.15">
      <c r="A1826" s="117"/>
      <c r="B1826" s="105"/>
      <c r="C1826" s="204"/>
      <c r="D1826" s="50"/>
      <c r="E1826" s="215"/>
      <c r="F1826" s="324"/>
      <c r="G1826" s="324"/>
    </row>
    <row r="1827" spans="1:7">
      <c r="A1827" s="27"/>
      <c r="B1827" s="105"/>
      <c r="C1827" s="26"/>
      <c r="D1827" s="26"/>
      <c r="E1827" s="31"/>
      <c r="F1827" s="24"/>
      <c r="G1827" s="24"/>
    </row>
    <row r="1828" spans="1:7">
      <c r="A1828" s="27"/>
      <c r="B1828" s="105"/>
      <c r="C1828" s="26"/>
      <c r="D1828" s="26"/>
      <c r="E1828" s="31"/>
      <c r="F1828" s="24"/>
      <c r="G1828" s="24"/>
    </row>
    <row r="1829" spans="1:7">
      <c r="A1829" s="27"/>
      <c r="B1829" s="105"/>
      <c r="C1829" s="26"/>
      <c r="D1829" s="26"/>
      <c r="E1829" s="31"/>
      <c r="F1829" s="24"/>
      <c r="G1829" s="24"/>
    </row>
  </sheetData>
  <sheetProtection algorithmName="SHA-512" hashValue="dy1F/BrZf1prf5POe7zecAFT0F4fzmVuikFRefwKwxlDI3eue4qhTUIdnozkBYUeR2YJzKpJvGkv91VyCWKAzA==" saltValue="WpZY/A3Hj0CPhl3BM+cGWA==" spinCount="100000" sheet="1" objects="1" scenarios="1"/>
  <mergeCells count="941">
    <mergeCell ref="A16:G16"/>
    <mergeCell ref="C1081:G1081"/>
    <mergeCell ref="C1057:G1057"/>
    <mergeCell ref="C1040:G1040"/>
    <mergeCell ref="C1041:G1041"/>
    <mergeCell ref="C1042:G1042"/>
    <mergeCell ref="C1043:G1043"/>
    <mergeCell ref="C1048:G1048"/>
    <mergeCell ref="C1068:G1068"/>
    <mergeCell ref="C1076:G1076"/>
    <mergeCell ref="C1077:G1077"/>
    <mergeCell ref="C1038:G1038"/>
    <mergeCell ref="C1039:G1039"/>
    <mergeCell ref="C1044:G1044"/>
    <mergeCell ref="C1045:G1045"/>
    <mergeCell ref="C1046:G1046"/>
    <mergeCell ref="C1047:G1047"/>
    <mergeCell ref="C1078:G1078"/>
    <mergeCell ref="C1079:G1079"/>
    <mergeCell ref="C1080:G1080"/>
    <mergeCell ref="C297:G297"/>
    <mergeCell ref="C389:G389"/>
    <mergeCell ref="C629:G629"/>
    <mergeCell ref="C1012:G1012"/>
    <mergeCell ref="C1029:G1029"/>
    <mergeCell ref="C1030:G1030"/>
    <mergeCell ref="C1031:G1031"/>
    <mergeCell ref="C1049:G1049"/>
    <mergeCell ref="C1050:G1050"/>
    <mergeCell ref="C1051:G1051"/>
    <mergeCell ref="C1052:G1052"/>
    <mergeCell ref="C1053:G1053"/>
    <mergeCell ref="C1007:G1007"/>
    <mergeCell ref="C1008:G1008"/>
    <mergeCell ref="C1009:G1009"/>
    <mergeCell ref="C1010:G1010"/>
    <mergeCell ref="C1011:G1011"/>
    <mergeCell ref="I1054:M1054"/>
    <mergeCell ref="C1062:G1062"/>
    <mergeCell ref="C1063:G1063"/>
    <mergeCell ref="C1064:G1064"/>
    <mergeCell ref="C1222:G1222"/>
    <mergeCell ref="C1202:G1202"/>
    <mergeCell ref="C1203:G1203"/>
    <mergeCell ref="C1208:G1208"/>
    <mergeCell ref="C1209:G1209"/>
    <mergeCell ref="C1210:G1210"/>
    <mergeCell ref="C1211:G1211"/>
    <mergeCell ref="C1073:G1073"/>
    <mergeCell ref="C1074:G1074"/>
    <mergeCell ref="C1056:G1056"/>
    <mergeCell ref="C1075:G1075"/>
    <mergeCell ref="C1061:G1061"/>
    <mergeCell ref="C1069:G1069"/>
    <mergeCell ref="C1070:G1070"/>
    <mergeCell ref="C1071:G1071"/>
    <mergeCell ref="C1072:G1072"/>
    <mergeCell ref="C1065:G1065"/>
    <mergeCell ref="C1066:G1066"/>
    <mergeCell ref="C1067:G1067"/>
    <mergeCell ref="C1054:G1054"/>
    <mergeCell ref="C1223:G1223"/>
    <mergeCell ref="C1224:G1224"/>
    <mergeCell ref="C1225:G1225"/>
    <mergeCell ref="C1226:G1226"/>
    <mergeCell ref="C1227:G1227"/>
    <mergeCell ref="C1228:G1228"/>
    <mergeCell ref="C1204:G1204"/>
    <mergeCell ref="C1205:G1205"/>
    <mergeCell ref="C1212:G1212"/>
    <mergeCell ref="C1215:G1215"/>
    <mergeCell ref="C1216:G1216"/>
    <mergeCell ref="C1217:G1217"/>
    <mergeCell ref="C1219:G1219"/>
    <mergeCell ref="C1220:G1220"/>
    <mergeCell ref="C1221:G1221"/>
    <mergeCell ref="C1214:G1214"/>
    <mergeCell ref="C1206:G1206"/>
    <mergeCell ref="C1207:G1207"/>
    <mergeCell ref="C1213:G1213"/>
    <mergeCell ref="C1058:G1058"/>
    <mergeCell ref="C1059:G1059"/>
    <mergeCell ref="C1060:G1060"/>
    <mergeCell ref="C1013:G1013"/>
    <mergeCell ref="C1014:G1014"/>
    <mergeCell ref="C1015:G1015"/>
    <mergeCell ref="C1016:G1016"/>
    <mergeCell ref="C1017:G1017"/>
    <mergeCell ref="C1018:G1018"/>
    <mergeCell ref="C1020:G1020"/>
    <mergeCell ref="C1021:G1021"/>
    <mergeCell ref="C1022:G1022"/>
    <mergeCell ref="C1023:G1023"/>
    <mergeCell ref="C1024:G1024"/>
    <mergeCell ref="C1025:G1025"/>
    <mergeCell ref="C1026:G1026"/>
    <mergeCell ref="C1027:G1027"/>
    <mergeCell ref="C1028:G1028"/>
    <mergeCell ref="C1035:G1035"/>
    <mergeCell ref="C1037:G1037"/>
    <mergeCell ref="C1032:G1032"/>
    <mergeCell ref="C1033:G1033"/>
    <mergeCell ref="C1034:G1034"/>
    <mergeCell ref="C1055:G1055"/>
    <mergeCell ref="C994:G994"/>
    <mergeCell ref="C995:G995"/>
    <mergeCell ref="C996:G996"/>
    <mergeCell ref="C997:G997"/>
    <mergeCell ref="C998:G998"/>
    <mergeCell ref="C999:G999"/>
    <mergeCell ref="C1000:G1000"/>
    <mergeCell ref="C1001:G1001"/>
    <mergeCell ref="C1006:G1006"/>
    <mergeCell ref="C1002:G1002"/>
    <mergeCell ref="C1003:G1003"/>
    <mergeCell ref="C1004:G1004"/>
    <mergeCell ref="C1005:G1005"/>
    <mergeCell ref="C985:G985"/>
    <mergeCell ref="C986:G986"/>
    <mergeCell ref="C987:G987"/>
    <mergeCell ref="C988:G988"/>
    <mergeCell ref="C989:G989"/>
    <mergeCell ref="C990:G990"/>
    <mergeCell ref="C991:G991"/>
    <mergeCell ref="C992:G992"/>
    <mergeCell ref="C993:G993"/>
    <mergeCell ref="C976:G976"/>
    <mergeCell ref="C977:G977"/>
    <mergeCell ref="C978:G978"/>
    <mergeCell ref="C979:G979"/>
    <mergeCell ref="C980:G980"/>
    <mergeCell ref="C981:G981"/>
    <mergeCell ref="C982:G982"/>
    <mergeCell ref="C983:G983"/>
    <mergeCell ref="C984:G984"/>
    <mergeCell ref="C967:G967"/>
    <mergeCell ref="C968:G968"/>
    <mergeCell ref="C969:G969"/>
    <mergeCell ref="C970:G970"/>
    <mergeCell ref="C971:G971"/>
    <mergeCell ref="C972:G972"/>
    <mergeCell ref="C973:G973"/>
    <mergeCell ref="C974:G974"/>
    <mergeCell ref="C975:G975"/>
    <mergeCell ref="C958:G958"/>
    <mergeCell ref="C959:G959"/>
    <mergeCell ref="C960:G960"/>
    <mergeCell ref="C961:G961"/>
    <mergeCell ref="C962:G962"/>
    <mergeCell ref="C963:G963"/>
    <mergeCell ref="C964:G964"/>
    <mergeCell ref="C965:G965"/>
    <mergeCell ref="C966:G966"/>
    <mergeCell ref="C925:G925"/>
    <mergeCell ref="C926:G926"/>
    <mergeCell ref="C927:G927"/>
    <mergeCell ref="C928:G928"/>
    <mergeCell ref="C929:G929"/>
    <mergeCell ref="C931:G931"/>
    <mergeCell ref="C932:G932"/>
    <mergeCell ref="C934:G934"/>
    <mergeCell ref="C956:G956"/>
    <mergeCell ref="C915:G915"/>
    <mergeCell ref="C916:G916"/>
    <mergeCell ref="C917:G917"/>
    <mergeCell ref="C918:G918"/>
    <mergeCell ref="C919:G919"/>
    <mergeCell ref="C920:G920"/>
    <mergeCell ref="C922:G922"/>
    <mergeCell ref="C923:G923"/>
    <mergeCell ref="C924:G924"/>
    <mergeCell ref="C906:G906"/>
    <mergeCell ref="C907:G907"/>
    <mergeCell ref="C908:G908"/>
    <mergeCell ref="C909:G909"/>
    <mergeCell ref="C910:G910"/>
    <mergeCell ref="C911:G911"/>
    <mergeCell ref="C912:G912"/>
    <mergeCell ref="C913:G913"/>
    <mergeCell ref="C914:G914"/>
    <mergeCell ref="C901:G901"/>
    <mergeCell ref="C893:G893"/>
    <mergeCell ref="C894:G894"/>
    <mergeCell ref="C895:G895"/>
    <mergeCell ref="C902:G902"/>
    <mergeCell ref="C903:G903"/>
    <mergeCell ref="C904:G904"/>
    <mergeCell ref="C844:G844"/>
    <mergeCell ref="C905:G905"/>
    <mergeCell ref="C840:G840"/>
    <mergeCell ref="C841:G841"/>
    <mergeCell ref="C889:G889"/>
    <mergeCell ref="C890:G890"/>
    <mergeCell ref="C896:G896"/>
    <mergeCell ref="C897:G897"/>
    <mergeCell ref="C898:G898"/>
    <mergeCell ref="C899:G899"/>
    <mergeCell ref="C900:G900"/>
    <mergeCell ref="C835:G835"/>
    <mergeCell ref="C836:G836"/>
    <mergeCell ref="C837:G837"/>
    <mergeCell ref="C838:G838"/>
    <mergeCell ref="C839:G839"/>
    <mergeCell ref="C817:G817"/>
    <mergeCell ref="C818:G818"/>
    <mergeCell ref="C819:G819"/>
    <mergeCell ref="C821:G821"/>
    <mergeCell ref="C822:G822"/>
    <mergeCell ref="C823:G823"/>
    <mergeCell ref="C824:G824"/>
    <mergeCell ref="C825:G825"/>
    <mergeCell ref="C826:G826"/>
    <mergeCell ref="C815:G815"/>
    <mergeCell ref="C827:G827"/>
    <mergeCell ref="C828:G828"/>
    <mergeCell ref="C829:G829"/>
    <mergeCell ref="C830:G830"/>
    <mergeCell ref="C831:G831"/>
    <mergeCell ref="C832:G832"/>
    <mergeCell ref="C833:G833"/>
    <mergeCell ref="C834:G834"/>
    <mergeCell ref="C806:G806"/>
    <mergeCell ref="C807:G807"/>
    <mergeCell ref="C808:G808"/>
    <mergeCell ref="C809:G809"/>
    <mergeCell ref="C810:G810"/>
    <mergeCell ref="C811:G811"/>
    <mergeCell ref="C812:G812"/>
    <mergeCell ref="C813:G813"/>
    <mergeCell ref="C814:G814"/>
    <mergeCell ref="C795:G795"/>
    <mergeCell ref="C796:G796"/>
    <mergeCell ref="C797:G797"/>
    <mergeCell ref="C798:G798"/>
    <mergeCell ref="C799:G799"/>
    <mergeCell ref="C800:G800"/>
    <mergeCell ref="C802:G802"/>
    <mergeCell ref="C803:G803"/>
    <mergeCell ref="C805:G805"/>
    <mergeCell ref="C788:G788"/>
    <mergeCell ref="C789:G789"/>
    <mergeCell ref="C790:G790"/>
    <mergeCell ref="C791:G791"/>
    <mergeCell ref="C792:G792"/>
    <mergeCell ref="C793:G793"/>
    <mergeCell ref="C794:G794"/>
    <mergeCell ref="C781:G781"/>
    <mergeCell ref="C782:G782"/>
    <mergeCell ref="C783:G783"/>
    <mergeCell ref="C784:G784"/>
    <mergeCell ref="C785:G785"/>
    <mergeCell ref="C786:G786"/>
    <mergeCell ref="C787:G787"/>
    <mergeCell ref="I780:M780"/>
    <mergeCell ref="N780:R780"/>
    <mergeCell ref="I767:M767"/>
    <mergeCell ref="N767:R767"/>
    <mergeCell ref="C775:G775"/>
    <mergeCell ref="I768:M768"/>
    <mergeCell ref="N768:R768"/>
    <mergeCell ref="C776:G776"/>
    <mergeCell ref="I769:M769"/>
    <mergeCell ref="N769:R769"/>
    <mergeCell ref="I770:M770"/>
    <mergeCell ref="N770:R770"/>
    <mergeCell ref="I771:M771"/>
    <mergeCell ref="N771:R771"/>
    <mergeCell ref="C767:G767"/>
    <mergeCell ref="C768:G768"/>
    <mergeCell ref="N756:R756"/>
    <mergeCell ref="C764:G764"/>
    <mergeCell ref="I757:M757"/>
    <mergeCell ref="N757:R757"/>
    <mergeCell ref="C765:G765"/>
    <mergeCell ref="I758:M758"/>
    <mergeCell ref="N758:R758"/>
    <mergeCell ref="I759:M759"/>
    <mergeCell ref="N759:R759"/>
    <mergeCell ref="I760:M760"/>
    <mergeCell ref="N760:R760"/>
    <mergeCell ref="C756:G756"/>
    <mergeCell ref="C758:G758"/>
    <mergeCell ref="C759:G759"/>
    <mergeCell ref="C760:G760"/>
    <mergeCell ref="I761:M761"/>
    <mergeCell ref="N761:R761"/>
    <mergeCell ref="I762:M762"/>
    <mergeCell ref="N762:R762"/>
    <mergeCell ref="I763:M763"/>
    <mergeCell ref="C275:G275"/>
    <mergeCell ref="C276:G276"/>
    <mergeCell ref="C432:G432"/>
    <mergeCell ref="C433:G433"/>
    <mergeCell ref="C678:G678"/>
    <mergeCell ref="C679:G679"/>
    <mergeCell ref="C306:G306"/>
    <mergeCell ref="C307:G307"/>
    <mergeCell ref="C308:G308"/>
    <mergeCell ref="C309:G309"/>
    <mergeCell ref="C310:G310"/>
    <mergeCell ref="C311:G311"/>
    <mergeCell ref="C403:G403"/>
    <mergeCell ref="C404:G404"/>
    <mergeCell ref="C405:G405"/>
    <mergeCell ref="C406:G406"/>
    <mergeCell ref="C428:G428"/>
    <mergeCell ref="C429:G429"/>
    <mergeCell ref="C430:G430"/>
    <mergeCell ref="C431:G431"/>
    <mergeCell ref="C417:G417"/>
    <mergeCell ref="C434:G434"/>
    <mergeCell ref="C435:G435"/>
    <mergeCell ref="C436:G436"/>
    <mergeCell ref="C507:G507"/>
    <mergeCell ref="C478:G478"/>
    <mergeCell ref="C516:G516"/>
    <mergeCell ref="C517:G517"/>
    <mergeCell ref="C511:G511"/>
    <mergeCell ref="C512:G512"/>
    <mergeCell ref="C513:G513"/>
    <mergeCell ref="C515:G515"/>
    <mergeCell ref="C506:G506"/>
    <mergeCell ref="C510:G510"/>
    <mergeCell ref="C220:G220"/>
    <mergeCell ref="C672:G672"/>
    <mergeCell ref="C673:G673"/>
    <mergeCell ref="C674:G674"/>
    <mergeCell ref="C675:G675"/>
    <mergeCell ref="C676:G676"/>
    <mergeCell ref="C677:G677"/>
    <mergeCell ref="C410:G410"/>
    <mergeCell ref="C411:G411"/>
    <mergeCell ref="C413:G413"/>
    <mergeCell ref="C414:G414"/>
    <mergeCell ref="C415:G415"/>
    <mergeCell ref="C416:G416"/>
    <mergeCell ref="C466:G466"/>
    <mergeCell ref="C467:G467"/>
    <mergeCell ref="C468:G468"/>
    <mergeCell ref="C469:G469"/>
    <mergeCell ref="C470:G470"/>
    <mergeCell ref="C438:G438"/>
    <mergeCell ref="C439:G439"/>
    <mergeCell ref="C443:G443"/>
    <mergeCell ref="C444:G444"/>
    <mergeCell ref="C446:G446"/>
    <mergeCell ref="C519:G519"/>
    <mergeCell ref="J204:N204"/>
    <mergeCell ref="C205:G205"/>
    <mergeCell ref="C206:G206"/>
    <mergeCell ref="C221:G221"/>
    <mergeCell ref="C222:G222"/>
    <mergeCell ref="C240:G240"/>
    <mergeCell ref="C241:G241"/>
    <mergeCell ref="C242:G242"/>
    <mergeCell ref="C243:G243"/>
    <mergeCell ref="C233:G233"/>
    <mergeCell ref="C227:G227"/>
    <mergeCell ref="C230:G230"/>
    <mergeCell ref="C231:G231"/>
    <mergeCell ref="C207:G207"/>
    <mergeCell ref="C208:G208"/>
    <mergeCell ref="C209:G209"/>
    <mergeCell ref="C210:G210"/>
    <mergeCell ref="C211:G211"/>
    <mergeCell ref="C212:G212"/>
    <mergeCell ref="C228:G228"/>
    <mergeCell ref="C229:G229"/>
    <mergeCell ref="C217:G217"/>
    <mergeCell ref="C218:G218"/>
    <mergeCell ref="C219:G219"/>
    <mergeCell ref="C224:G224"/>
    <mergeCell ref="C225:G225"/>
    <mergeCell ref="C258:G258"/>
    <mergeCell ref="C259:G259"/>
    <mergeCell ref="C226:G226"/>
    <mergeCell ref="C261:G261"/>
    <mergeCell ref="C262:G262"/>
    <mergeCell ref="C263:G263"/>
    <mergeCell ref="C251:G251"/>
    <mergeCell ref="C235:G235"/>
    <mergeCell ref="C232:G232"/>
    <mergeCell ref="C260:G260"/>
    <mergeCell ref="C252:G252"/>
    <mergeCell ref="C253:G253"/>
    <mergeCell ref="C254:G254"/>
    <mergeCell ref="C255:G255"/>
    <mergeCell ref="C244:G244"/>
    <mergeCell ref="C245:G245"/>
    <mergeCell ref="C249:G249"/>
    <mergeCell ref="C248:G248"/>
    <mergeCell ref="I406:Q406"/>
    <mergeCell ref="C407:G407"/>
    <mergeCell ref="C396:G396"/>
    <mergeCell ref="C397:G397"/>
    <mergeCell ref="C399:G399"/>
    <mergeCell ref="C400:G400"/>
    <mergeCell ref="C401:G401"/>
    <mergeCell ref="C402:G402"/>
    <mergeCell ref="I412:Q458"/>
    <mergeCell ref="C426:G426"/>
    <mergeCell ref="C427:G427"/>
    <mergeCell ref="C420:G420"/>
    <mergeCell ref="C421:G421"/>
    <mergeCell ref="C422:G422"/>
    <mergeCell ref="C423:G423"/>
    <mergeCell ref="C424:G424"/>
    <mergeCell ref="C425:G425"/>
    <mergeCell ref="C408:G408"/>
    <mergeCell ref="C409:G409"/>
    <mergeCell ref="C447:G447"/>
    <mergeCell ref="C448:G448"/>
    <mergeCell ref="C449:G449"/>
    <mergeCell ref="C450:G450"/>
    <mergeCell ref="C454:G454"/>
    <mergeCell ref="I1086:J1086"/>
    <mergeCell ref="C479:G479"/>
    <mergeCell ref="C480:G480"/>
    <mergeCell ref="C481:G481"/>
    <mergeCell ref="C482:G482"/>
    <mergeCell ref="C483:G483"/>
    <mergeCell ref="C471:G471"/>
    <mergeCell ref="C509:G509"/>
    <mergeCell ref="C459:G459"/>
    <mergeCell ref="C460:G460"/>
    <mergeCell ref="C461:G461"/>
    <mergeCell ref="C639:G639"/>
    <mergeCell ref="C653:G653"/>
    <mergeCell ref="C495:G495"/>
    <mergeCell ref="C496:G496"/>
    <mergeCell ref="C498:G498"/>
    <mergeCell ref="C499:G499"/>
    <mergeCell ref="C508:G508"/>
    <mergeCell ref="C635:G635"/>
    <mergeCell ref="C636:G636"/>
    <mergeCell ref="C637:G637"/>
    <mergeCell ref="C632:G632"/>
    <mergeCell ref="C521:G521"/>
    <mergeCell ref="C633:G633"/>
    <mergeCell ref="I538:L538"/>
    <mergeCell ref="I880:O881"/>
    <mergeCell ref="C892:G892"/>
    <mergeCell ref="C527:G527"/>
    <mergeCell ref="C701:G701"/>
    <mergeCell ref="I719:K719"/>
    <mergeCell ref="C662:G662"/>
    <mergeCell ref="C661:G661"/>
    <mergeCell ref="C655:G655"/>
    <mergeCell ref="C656:G656"/>
    <mergeCell ref="I856:M856"/>
    <mergeCell ref="C667:G667"/>
    <mergeCell ref="C668:G668"/>
    <mergeCell ref="C669:G669"/>
    <mergeCell ref="C670:G670"/>
    <mergeCell ref="C671:G671"/>
    <mergeCell ref="I753:M753"/>
    <mergeCell ref="N753:R753"/>
    <mergeCell ref="I754:M754"/>
    <mergeCell ref="N754:R754"/>
    <mergeCell ref="I755:M755"/>
    <mergeCell ref="N755:R755"/>
    <mergeCell ref="C763:G763"/>
    <mergeCell ref="I756:M756"/>
    <mergeCell ref="D70:G70"/>
    <mergeCell ref="C48:F48"/>
    <mergeCell ref="C50:F50"/>
    <mergeCell ref="C52:F52"/>
    <mergeCell ref="D73:G73"/>
    <mergeCell ref="D75:F75"/>
    <mergeCell ref="C299:G299"/>
    <mergeCell ref="C300:G300"/>
    <mergeCell ref="D109:G109"/>
    <mergeCell ref="D111:G111"/>
    <mergeCell ref="C236:G236"/>
    <mergeCell ref="C238:G238"/>
    <mergeCell ref="C239:G239"/>
    <mergeCell ref="C250:G250"/>
    <mergeCell ref="C202:G202"/>
    <mergeCell ref="C256:G256"/>
    <mergeCell ref="C257:G257"/>
    <mergeCell ref="C264:G264"/>
    <mergeCell ref="C265:G265"/>
    <mergeCell ref="C266:G266"/>
    <mergeCell ref="C267:G267"/>
    <mergeCell ref="C268:G268"/>
    <mergeCell ref="C269:G269"/>
    <mergeCell ref="C272:G272"/>
    <mergeCell ref="D137:F137"/>
    <mergeCell ref="C281:F281"/>
    <mergeCell ref="C664:G664"/>
    <mergeCell ref="D7:G7"/>
    <mergeCell ref="D6:G6"/>
    <mergeCell ref="D9:G9"/>
    <mergeCell ref="D11:F11"/>
    <mergeCell ref="C151:F151"/>
    <mergeCell ref="D108:G108"/>
    <mergeCell ref="C32:E32"/>
    <mergeCell ref="C35:E35"/>
    <mergeCell ref="C24:E24"/>
    <mergeCell ref="C27:E27"/>
    <mergeCell ref="A17:F17"/>
    <mergeCell ref="C21:E21"/>
    <mergeCell ref="E40:F40"/>
    <mergeCell ref="D71:G71"/>
    <mergeCell ref="C22:E22"/>
    <mergeCell ref="C26:E26"/>
    <mergeCell ref="A126:F126"/>
    <mergeCell ref="A127:F127"/>
    <mergeCell ref="C30:E30"/>
    <mergeCell ref="C33:E33"/>
    <mergeCell ref="C78:G78"/>
    <mergeCell ref="C643:G643"/>
    <mergeCell ref="C644:G644"/>
    <mergeCell ref="C457:G457"/>
    <mergeCell ref="C298:G298"/>
    <mergeCell ref="C301:G301"/>
    <mergeCell ref="C274:G274"/>
    <mergeCell ref="C645:G645"/>
    <mergeCell ref="C522:G522"/>
    <mergeCell ref="C640:G640"/>
    <mergeCell ref="C641:G641"/>
    <mergeCell ref="C634:G634"/>
    <mergeCell ref="C631:G631"/>
    <mergeCell ref="C455:G455"/>
    <mergeCell ref="C456:G456"/>
    <mergeCell ref="C302:G302"/>
    <mergeCell ref="C458:G458"/>
    <mergeCell ref="C303:G303"/>
    <mergeCell ref="C304:G304"/>
    <mergeCell ref="C305:G305"/>
    <mergeCell ref="C502:G502"/>
    <mergeCell ref="C490:G490"/>
    <mergeCell ref="C491:G491"/>
    <mergeCell ref="C445:G445"/>
    <mergeCell ref="C452:G452"/>
    <mergeCell ref="C472:G472"/>
    <mergeCell ref="C474:G474"/>
    <mergeCell ref="C475:G475"/>
    <mergeCell ref="C476:G476"/>
    <mergeCell ref="C524:G524"/>
    <mergeCell ref="C246:G246"/>
    <mergeCell ref="C247:G247"/>
    <mergeCell ref="C628:G628"/>
    <mergeCell ref="C630:G630"/>
    <mergeCell ref="C312:G312"/>
    <mergeCell ref="C390:G390"/>
    <mergeCell ref="C391:G391"/>
    <mergeCell ref="C392:G392"/>
    <mergeCell ref="C393:G393"/>
    <mergeCell ref="C395:G395"/>
    <mergeCell ref="C387:G387"/>
    <mergeCell ref="C451:G451"/>
    <mergeCell ref="C437:G437"/>
    <mergeCell ref="C477:G477"/>
    <mergeCell ref="C465:G465"/>
    <mergeCell ref="C273:G273"/>
    <mergeCell ref="C270:G270"/>
    <mergeCell ref="C271:G271"/>
    <mergeCell ref="C520:G520"/>
    <mergeCell ref="C652:G652"/>
    <mergeCell ref="C654:G654"/>
    <mergeCell ref="C804:G804"/>
    <mergeCell ref="C816:G816"/>
    <mergeCell ref="C293:G293"/>
    <mergeCell ref="C294:G294"/>
    <mergeCell ref="C1272:G1272"/>
    <mergeCell ref="C1273:G1273"/>
    <mergeCell ref="C659:G659"/>
    <mergeCell ref="C660:G660"/>
    <mergeCell ref="C663:G663"/>
    <mergeCell ref="C691:G691"/>
    <mergeCell ref="C692:G692"/>
    <mergeCell ref="C657:G657"/>
    <mergeCell ref="C658:G658"/>
    <mergeCell ref="C647:G647"/>
    <mergeCell ref="C649:G649"/>
    <mergeCell ref="C650:G650"/>
    <mergeCell ref="C937:G937"/>
    <mergeCell ref="C503:G503"/>
    <mergeCell ref="C504:G504"/>
    <mergeCell ref="C505:G505"/>
    <mergeCell ref="C500:G500"/>
    <mergeCell ref="C501:G501"/>
    <mergeCell ref="C523:G523"/>
    <mergeCell ref="C518:G518"/>
    <mergeCell ref="C651:G651"/>
    <mergeCell ref="C237:G237"/>
    <mergeCell ref="C642:G642"/>
    <mergeCell ref="C223:G223"/>
    <mergeCell ref="C286:F286"/>
    <mergeCell ref="C234:G234"/>
    <mergeCell ref="C484:G484"/>
    <mergeCell ref="C485:G485"/>
    <mergeCell ref="C486:G486"/>
    <mergeCell ref="C487:G487"/>
    <mergeCell ref="C488:G488"/>
    <mergeCell ref="C489:G489"/>
    <mergeCell ref="C494:G494"/>
    <mergeCell ref="C492:G492"/>
    <mergeCell ref="C493:G493"/>
    <mergeCell ref="C462:G462"/>
    <mergeCell ref="C463:G463"/>
    <mergeCell ref="C464:G464"/>
    <mergeCell ref="C453:G453"/>
    <mergeCell ref="C648:G648"/>
    <mergeCell ref="C646:G646"/>
    <mergeCell ref="C638:G638"/>
    <mergeCell ref="C36:E36"/>
    <mergeCell ref="C29:E29"/>
    <mergeCell ref="D113:F113"/>
    <mergeCell ref="C213:G213"/>
    <mergeCell ref="C214:G214"/>
    <mergeCell ref="C215:G215"/>
    <mergeCell ref="C216:G216"/>
    <mergeCell ref="C1295:G1295"/>
    <mergeCell ref="C1296:G1296"/>
    <mergeCell ref="C1289:G1289"/>
    <mergeCell ref="C1290:G1290"/>
    <mergeCell ref="C1291:G1291"/>
    <mergeCell ref="C1292:G1292"/>
    <mergeCell ref="C1293:G1293"/>
    <mergeCell ref="C1294:G1294"/>
    <mergeCell ref="C1274:G1274"/>
    <mergeCell ref="C665:G665"/>
    <mergeCell ref="C666:G666"/>
    <mergeCell ref="C1284:G1284"/>
    <mergeCell ref="C1285:G1285"/>
    <mergeCell ref="C1286:G1286"/>
    <mergeCell ref="C282:F282"/>
    <mergeCell ref="C283:F283"/>
    <mergeCell ref="D145:G145"/>
    <mergeCell ref="J1319:R1319"/>
    <mergeCell ref="C1327:G1327"/>
    <mergeCell ref="I1320:R1320"/>
    <mergeCell ref="C1328:G1328"/>
    <mergeCell ref="C1329:G1329"/>
    <mergeCell ref="C1282:G1282"/>
    <mergeCell ref="C1283:G1283"/>
    <mergeCell ref="C766:G766"/>
    <mergeCell ref="N763:R763"/>
    <mergeCell ref="I764:M764"/>
    <mergeCell ref="N764:R764"/>
    <mergeCell ref="C772:G772"/>
    <mergeCell ref="I765:M765"/>
    <mergeCell ref="N765:R765"/>
    <mergeCell ref="C773:G773"/>
    <mergeCell ref="I766:M766"/>
    <mergeCell ref="N766:R766"/>
    <mergeCell ref="C774:G774"/>
    <mergeCell ref="C1301:G1301"/>
    <mergeCell ref="C1302:G1302"/>
    <mergeCell ref="C1322:G1322"/>
    <mergeCell ref="C1323:G1323"/>
    <mergeCell ref="C1324:G1324"/>
    <mergeCell ref="C1326:G1326"/>
    <mergeCell ref="C1334:G1334"/>
    <mergeCell ref="C1335:G1335"/>
    <mergeCell ref="C1336:G1336"/>
    <mergeCell ref="C1337:G1337"/>
    <mergeCell ref="C1275:G1275"/>
    <mergeCell ref="C684:G684"/>
    <mergeCell ref="C685:G685"/>
    <mergeCell ref="C687:G687"/>
    <mergeCell ref="C688:G688"/>
    <mergeCell ref="C689:G689"/>
    <mergeCell ref="C690:G690"/>
    <mergeCell ref="C693:G693"/>
    <mergeCell ref="C694:G694"/>
    <mergeCell ref="C695:G695"/>
    <mergeCell ref="C696:G696"/>
    <mergeCell ref="C697:G697"/>
    <mergeCell ref="C698:G698"/>
    <mergeCell ref="C769:G769"/>
    <mergeCell ref="C770:G770"/>
    <mergeCell ref="C771:G771"/>
    <mergeCell ref="C777:G777"/>
    <mergeCell ref="C761:G761"/>
    <mergeCell ref="C762:G762"/>
    <mergeCell ref="C1330:G1330"/>
    <mergeCell ref="C1287:G1287"/>
    <mergeCell ref="C1288:G1288"/>
    <mergeCell ref="C891:G891"/>
    <mergeCell ref="C680:G680"/>
    <mergeCell ref="C681:G681"/>
    <mergeCell ref="C682:G682"/>
    <mergeCell ref="C683:G683"/>
    <mergeCell ref="C1332:G1332"/>
    <mergeCell ref="C1333:G1333"/>
    <mergeCell ref="C1297:G1297"/>
    <mergeCell ref="C1298:G1298"/>
    <mergeCell ref="C1299:G1299"/>
    <mergeCell ref="C1300:G1300"/>
    <mergeCell ref="C1276:G1276"/>
    <mergeCell ref="C1277:G1277"/>
    <mergeCell ref="C1278:G1278"/>
    <mergeCell ref="C1280:G1280"/>
    <mergeCell ref="C1281:G1281"/>
    <mergeCell ref="C1279:G1279"/>
    <mergeCell ref="C754:G754"/>
    <mergeCell ref="C755:G755"/>
    <mergeCell ref="C778:G778"/>
    <mergeCell ref="C779:G779"/>
    <mergeCell ref="C780:G780"/>
    <mergeCell ref="C1344:G1344"/>
    <mergeCell ref="C1345:G1345"/>
    <mergeCell ref="C1346:G1346"/>
    <mergeCell ref="C1347:G1347"/>
    <mergeCell ref="C1348:G1348"/>
    <mergeCell ref="C1349:G1349"/>
    <mergeCell ref="C1338:G1338"/>
    <mergeCell ref="C1339:G1339"/>
    <mergeCell ref="C1340:G1340"/>
    <mergeCell ref="C1341:G1341"/>
    <mergeCell ref="C1342:G1342"/>
    <mergeCell ref="C1343:G1343"/>
    <mergeCell ref="C1356:G1356"/>
    <mergeCell ref="C1357:G1357"/>
    <mergeCell ref="C1358:G1358"/>
    <mergeCell ref="C1359:G1359"/>
    <mergeCell ref="C1360:G1360"/>
    <mergeCell ref="C1361:G1361"/>
    <mergeCell ref="C1350:G1350"/>
    <mergeCell ref="C1351:G1351"/>
    <mergeCell ref="C1352:G1352"/>
    <mergeCell ref="C1353:G1353"/>
    <mergeCell ref="C1354:G1354"/>
    <mergeCell ref="C1355:G1355"/>
    <mergeCell ref="C1368:F1368"/>
    <mergeCell ref="C1369:G1369"/>
    <mergeCell ref="C1371:G1371"/>
    <mergeCell ref="J1364:R1365"/>
    <mergeCell ref="C1372:G1372"/>
    <mergeCell ref="C1373:G1373"/>
    <mergeCell ref="C1362:G1362"/>
    <mergeCell ref="C1363:G1363"/>
    <mergeCell ref="C1364:G1364"/>
    <mergeCell ref="C1365:G1365"/>
    <mergeCell ref="C1366:G1366"/>
    <mergeCell ref="C1367:F1367"/>
    <mergeCell ref="C1380:G1380"/>
    <mergeCell ref="C1381:G1381"/>
    <mergeCell ref="C1382:G1382"/>
    <mergeCell ref="C1383:G1383"/>
    <mergeCell ref="C1384:G1384"/>
    <mergeCell ref="C1385:G1385"/>
    <mergeCell ref="C1374:G1374"/>
    <mergeCell ref="C1375:G1375"/>
    <mergeCell ref="C1376:G1376"/>
    <mergeCell ref="C1377:G1377"/>
    <mergeCell ref="C1378:G1378"/>
    <mergeCell ref="C1379:G1379"/>
    <mergeCell ref="C1392:G1392"/>
    <mergeCell ref="C1393:G1393"/>
    <mergeCell ref="C1395:G1395"/>
    <mergeCell ref="C1396:G1396"/>
    <mergeCell ref="C1397:G1397"/>
    <mergeCell ref="C1398:G1398"/>
    <mergeCell ref="C1386:G1386"/>
    <mergeCell ref="C1387:G1387"/>
    <mergeCell ref="C1388:G1388"/>
    <mergeCell ref="C1389:G1389"/>
    <mergeCell ref="C1390:G1390"/>
    <mergeCell ref="C1391:G1391"/>
    <mergeCell ref="C1406:G1406"/>
    <mergeCell ref="C1407:G1407"/>
    <mergeCell ref="C1412:F1412"/>
    <mergeCell ref="C1413:F1413"/>
    <mergeCell ref="C1414:F1414"/>
    <mergeCell ref="C1399:G1399"/>
    <mergeCell ref="C1400:G1400"/>
    <mergeCell ref="C1401:G1401"/>
    <mergeCell ref="C1402:G1402"/>
    <mergeCell ref="C1403:G1403"/>
    <mergeCell ref="C1404:G1404"/>
    <mergeCell ref="C1529:G1529"/>
    <mergeCell ref="C1530:G1530"/>
    <mergeCell ref="C1447:G1447"/>
    <mergeCell ref="C1451:G1451"/>
    <mergeCell ref="C1452:G1452"/>
    <mergeCell ref="C1453:G1453"/>
    <mergeCell ref="C1454:G1454"/>
    <mergeCell ref="C1455:G1455"/>
    <mergeCell ref="C1459:G1459"/>
    <mergeCell ref="C1456:G1456"/>
    <mergeCell ref="C1457:G1457"/>
    <mergeCell ref="C1458:G1458"/>
    <mergeCell ref="C1460:G1460"/>
    <mergeCell ref="C1465:G1465"/>
    <mergeCell ref="C1461:G1461"/>
    <mergeCell ref="C1448:G1448"/>
    <mergeCell ref="C1537:G1537"/>
    <mergeCell ref="C1538:G1538"/>
    <mergeCell ref="C1539:G1539"/>
    <mergeCell ref="C1540:G1540"/>
    <mergeCell ref="C1541:G1541"/>
    <mergeCell ref="C1542:G1542"/>
    <mergeCell ref="C1531:G1531"/>
    <mergeCell ref="C1532:G1532"/>
    <mergeCell ref="C1533:G1533"/>
    <mergeCell ref="C1534:G1534"/>
    <mergeCell ref="C1535:G1535"/>
    <mergeCell ref="C1536:G1536"/>
    <mergeCell ref="C1549:G1549"/>
    <mergeCell ref="C1550:G1550"/>
    <mergeCell ref="C1551:G1551"/>
    <mergeCell ref="C1552:G1552"/>
    <mergeCell ref="C1553:G1553"/>
    <mergeCell ref="C1554:G1554"/>
    <mergeCell ref="C1543:G1543"/>
    <mergeCell ref="C1544:G1544"/>
    <mergeCell ref="C1545:G1545"/>
    <mergeCell ref="C1546:G1546"/>
    <mergeCell ref="C1547:G1547"/>
    <mergeCell ref="C1548:G1548"/>
    <mergeCell ref="C1561:G1561"/>
    <mergeCell ref="C1562:G1562"/>
    <mergeCell ref="C1563:G1563"/>
    <mergeCell ref="C1564:G1564"/>
    <mergeCell ref="C1565:G1565"/>
    <mergeCell ref="C1566:G1566"/>
    <mergeCell ref="C1555:G1555"/>
    <mergeCell ref="C1556:G1556"/>
    <mergeCell ref="C1557:G1557"/>
    <mergeCell ref="C1558:G1558"/>
    <mergeCell ref="C1559:G1559"/>
    <mergeCell ref="C1560:G1560"/>
    <mergeCell ref="C1573:G1573"/>
    <mergeCell ref="C1574:G1574"/>
    <mergeCell ref="C1578:G1578"/>
    <mergeCell ref="C1600:G1600"/>
    <mergeCell ref="C1601:G1601"/>
    <mergeCell ref="C1567:G1567"/>
    <mergeCell ref="C1568:G1568"/>
    <mergeCell ref="C1569:G1569"/>
    <mergeCell ref="C1570:G1570"/>
    <mergeCell ref="C1571:G1571"/>
    <mergeCell ref="C1572:G1572"/>
    <mergeCell ref="C1582:G1582"/>
    <mergeCell ref="C1583:G1583"/>
    <mergeCell ref="C1584:G1584"/>
    <mergeCell ref="C1585:G1585"/>
    <mergeCell ref="C1586:G1586"/>
    <mergeCell ref="C1587:G1587"/>
    <mergeCell ref="C1575:G1575"/>
    <mergeCell ref="C1576:G1576"/>
    <mergeCell ref="C1577:G1577"/>
    <mergeCell ref="C1579:G1579"/>
    <mergeCell ref="C1580:G1580"/>
    <mergeCell ref="C1581:G1581"/>
    <mergeCell ref="C1594:G1594"/>
    <mergeCell ref="C1595:G1595"/>
    <mergeCell ref="C1596:G1596"/>
    <mergeCell ref="C1597:G1597"/>
    <mergeCell ref="C1598:G1598"/>
    <mergeCell ref="C1599:G1599"/>
    <mergeCell ref="C1588:G1588"/>
    <mergeCell ref="C1589:G1589"/>
    <mergeCell ref="C1590:G1590"/>
    <mergeCell ref="C1591:G1591"/>
    <mergeCell ref="C1592:G1592"/>
    <mergeCell ref="C1593:G1593"/>
    <mergeCell ref="C1629:G1629"/>
    <mergeCell ref="C1630:G1630"/>
    <mergeCell ref="C1631:G1631"/>
    <mergeCell ref="C1632:G1632"/>
    <mergeCell ref="C1633:G1633"/>
    <mergeCell ref="C1634:G1634"/>
    <mergeCell ref="C1625:G1625"/>
    <mergeCell ref="C1626:G1626"/>
    <mergeCell ref="C1627:G1627"/>
    <mergeCell ref="C1628:G1628"/>
    <mergeCell ref="C1716:G1716"/>
    <mergeCell ref="C1673:G1673"/>
    <mergeCell ref="C1674:G1674"/>
    <mergeCell ref="C1675:G1675"/>
    <mergeCell ref="C1676:G1676"/>
    <mergeCell ref="C1677:G1677"/>
    <mergeCell ref="C1635:G1635"/>
    <mergeCell ref="C1636:G1636"/>
    <mergeCell ref="C1637:G1637"/>
    <mergeCell ref="C1638:G1638"/>
    <mergeCell ref="C1639:G1639"/>
    <mergeCell ref="C1640:G1640"/>
    <mergeCell ref="C1641:G1641"/>
    <mergeCell ref="C1704:G1704"/>
    <mergeCell ref="C1685:G1685"/>
    <mergeCell ref="C1680:G1680"/>
    <mergeCell ref="C1681:G1681"/>
    <mergeCell ref="C1682:G1682"/>
    <mergeCell ref="C1683:G1683"/>
    <mergeCell ref="C1684:G1684"/>
    <mergeCell ref="C1678:G1678"/>
    <mergeCell ref="C1679:G1679"/>
    <mergeCell ref="C1729:G1729"/>
    <mergeCell ref="C1717:G1717"/>
    <mergeCell ref="C1718:G1718"/>
    <mergeCell ref="C1705:G1705"/>
    <mergeCell ref="C1706:G1706"/>
    <mergeCell ref="C1707:G1707"/>
    <mergeCell ref="C1708:G1708"/>
    <mergeCell ref="C1709:G1709"/>
    <mergeCell ref="C1710:G1710"/>
    <mergeCell ref="C1723:G1723"/>
    <mergeCell ref="C1724:G1724"/>
    <mergeCell ref="C1725:G1725"/>
    <mergeCell ref="C1726:G1726"/>
    <mergeCell ref="C1727:G1727"/>
    <mergeCell ref="C1728:G1728"/>
    <mergeCell ref="C1719:G1719"/>
    <mergeCell ref="C1720:G1720"/>
    <mergeCell ref="C1721:G1721"/>
    <mergeCell ref="C1722:G1722"/>
    <mergeCell ref="C1711:G1711"/>
    <mergeCell ref="C1712:G1712"/>
    <mergeCell ref="C1713:G1713"/>
    <mergeCell ref="C1714:G1714"/>
    <mergeCell ref="C1715:G1715"/>
    <mergeCell ref="N781:R781"/>
    <mergeCell ref="I781:M781"/>
    <mergeCell ref="H371:L371"/>
    <mergeCell ref="C1463:G1463"/>
    <mergeCell ref="C1462:G1462"/>
    <mergeCell ref="C1464:G1464"/>
    <mergeCell ref="C1449:G1449"/>
    <mergeCell ref="C1450:G1450"/>
    <mergeCell ref="C79:G79"/>
    <mergeCell ref="C1443:G1443"/>
    <mergeCell ref="C1444:G1444"/>
    <mergeCell ref="C1445:G1445"/>
    <mergeCell ref="C1446:G1446"/>
    <mergeCell ref="C1439:G1439"/>
    <mergeCell ref="C1440:G1440"/>
    <mergeCell ref="C1441:G1441"/>
    <mergeCell ref="C1442:G1442"/>
    <mergeCell ref="C1438:G1438"/>
    <mergeCell ref="C1437:G1437"/>
    <mergeCell ref="C1434:E1434"/>
    <mergeCell ref="C1435:D1435"/>
    <mergeCell ref="C1436:G1436"/>
    <mergeCell ref="C1417:F1417"/>
    <mergeCell ref="C1405:G1405"/>
  </mergeCells>
  <pageMargins left="0.60661764705882348" right="0.37610294117647058" top="0.74803149606299213" bottom="0.98425196850393704" header="0.19685039370078741" footer="0.19685039370078741"/>
  <pageSetup paperSize="9" scale="99" orientation="portrait" r:id="rId1"/>
  <headerFooter alignWithMargins="0">
    <oddFooter>&amp;L&amp;8
    Naručitelj: AUTO PROMET SISAK
    Zagrebačka ulica 19
    44000 Sisak&amp;C&amp;8Rekonstrukcija poslovno-prodajne zgrade
(dogradnja i prenamjena u poslovnu - pretežito uslužnu)
Z.O.P.: GP-21-2024&amp;R&amp;8&amp;P</oddFooter>
  </headerFooter>
  <ignoredErrors>
    <ignoredError sqref="B92 B82:B91"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A7191-89D5-4D59-83EE-29C4CDA61D0B}">
  <sheetPr>
    <tabColor theme="2"/>
  </sheetPr>
  <dimension ref="A1:G323"/>
  <sheetViews>
    <sheetView topLeftCell="A307" zoomScale="70" zoomScaleNormal="70" zoomScaleSheetLayoutView="145" zoomScalePageLayoutView="70" workbookViewId="0">
      <selection activeCell="E306" sqref="E306"/>
    </sheetView>
  </sheetViews>
  <sheetFormatPr defaultColWidth="9.1328125" defaultRowHeight="12.75" outlineLevelRow="1"/>
  <cols>
    <col min="1" max="1" width="5.3984375" style="2" customWidth="1"/>
    <col min="2" max="2" width="44.73046875" style="2" customWidth="1"/>
    <col min="3" max="3" width="6.265625" style="2" customWidth="1"/>
    <col min="4" max="4" width="8.73046875" style="2" customWidth="1"/>
    <col min="5" max="5" width="10.265625" style="2" customWidth="1"/>
    <col min="6" max="6" width="13.1328125" style="2" customWidth="1"/>
    <col min="7" max="7" width="1" style="2" hidden="1" customWidth="1"/>
    <col min="8" max="16384" width="9.1328125" style="2"/>
  </cols>
  <sheetData>
    <row r="1" spans="1:6" ht="13.15">
      <c r="A1" s="456"/>
      <c r="B1" s="457"/>
      <c r="C1" s="458"/>
      <c r="D1" s="459"/>
      <c r="E1" s="459"/>
    </row>
    <row r="2" spans="1:6" ht="13.15">
      <c r="A2" s="456"/>
      <c r="B2" s="457"/>
      <c r="C2" s="458"/>
      <c r="D2" s="459"/>
      <c r="E2" s="459"/>
    </row>
    <row r="3" spans="1:6" ht="15" customHeight="1">
      <c r="A3" s="460"/>
      <c r="B3" s="956" t="s">
        <v>2114</v>
      </c>
      <c r="C3" s="956"/>
      <c r="D3" s="956"/>
      <c r="E3" s="956"/>
      <c r="F3" s="956"/>
    </row>
    <row r="4" spans="1:6" ht="15" customHeight="1">
      <c r="A4" s="460"/>
      <c r="B4" s="959" t="s">
        <v>2119</v>
      </c>
      <c r="C4" s="959"/>
      <c r="D4" s="959"/>
      <c r="E4" s="463"/>
    </row>
    <row r="5" spans="1:6" ht="15" customHeight="1">
      <c r="A5" s="460"/>
      <c r="B5" s="462" t="s">
        <v>2122</v>
      </c>
      <c r="C5" s="462"/>
      <c r="D5" s="462"/>
      <c r="E5" s="463"/>
    </row>
    <row r="6" spans="1:6" ht="15" customHeight="1">
      <c r="A6" s="460"/>
      <c r="B6" s="959" t="s">
        <v>2120</v>
      </c>
      <c r="C6" s="959"/>
      <c r="D6" s="959"/>
      <c r="E6" s="463"/>
    </row>
    <row r="7" spans="1:6" ht="15" customHeight="1">
      <c r="A7" s="464"/>
      <c r="B7" s="465"/>
      <c r="C7" s="466"/>
      <c r="D7" s="466"/>
      <c r="E7" s="459"/>
    </row>
    <row r="8" spans="1:6" ht="15" customHeight="1">
      <c r="A8" s="460"/>
      <c r="B8" s="957" t="s">
        <v>2112</v>
      </c>
      <c r="C8" s="957"/>
      <c r="D8" s="957"/>
      <c r="E8" s="957"/>
      <c r="F8" s="957"/>
    </row>
    <row r="9" spans="1:6" ht="15" customHeight="1">
      <c r="A9" s="460"/>
      <c r="B9" s="957" t="s">
        <v>2110</v>
      </c>
      <c r="C9" s="957"/>
      <c r="D9" s="957"/>
      <c r="E9" s="957"/>
      <c r="F9" s="957"/>
    </row>
    <row r="10" spans="1:6" ht="15" customHeight="1">
      <c r="A10" s="460"/>
      <c r="B10" s="467" t="s">
        <v>2111</v>
      </c>
      <c r="C10" s="468"/>
      <c r="D10" s="462"/>
      <c r="E10" s="469"/>
    </row>
    <row r="11" spans="1:6" ht="15" customHeight="1">
      <c r="A11" s="460"/>
      <c r="B11" s="467"/>
      <c r="C11" s="468"/>
      <c r="D11" s="462"/>
      <c r="E11" s="469"/>
    </row>
    <row r="12" spans="1:6" ht="15" customHeight="1">
      <c r="A12" s="460"/>
      <c r="B12" s="957" t="s">
        <v>2113</v>
      </c>
      <c r="C12" s="957"/>
      <c r="D12" s="957"/>
      <c r="E12" s="957"/>
      <c r="F12" s="957"/>
    </row>
    <row r="13" spans="1:6" ht="15" customHeight="1">
      <c r="A13" s="460"/>
      <c r="B13" s="957" t="s">
        <v>2107</v>
      </c>
      <c r="C13" s="957"/>
      <c r="D13" s="957"/>
      <c r="E13" s="957"/>
      <c r="F13" s="957"/>
    </row>
    <row r="14" spans="1:6" ht="15" customHeight="1">
      <c r="A14" s="460"/>
      <c r="B14" s="467" t="s">
        <v>2108</v>
      </c>
      <c r="C14" s="467"/>
      <c r="D14" s="462"/>
      <c r="E14" s="469"/>
    </row>
    <row r="15" spans="1:6" ht="15" customHeight="1">
      <c r="A15" s="460"/>
      <c r="B15" s="467" t="s">
        <v>2109</v>
      </c>
      <c r="C15" s="467"/>
      <c r="D15" s="462"/>
      <c r="E15" s="469"/>
    </row>
    <row r="16" spans="1:6" ht="15" customHeight="1">
      <c r="A16" s="460"/>
      <c r="B16" s="467"/>
      <c r="C16" s="467"/>
      <c r="D16" s="462"/>
      <c r="E16" s="469"/>
    </row>
    <row r="17" spans="1:6" ht="15" customHeight="1">
      <c r="A17" s="460"/>
      <c r="B17" s="969" t="s">
        <v>2115</v>
      </c>
      <c r="C17" s="969"/>
      <c r="D17" s="969"/>
      <c r="E17" s="969"/>
      <c r="F17" s="969"/>
    </row>
    <row r="18" spans="1:6" ht="15" customHeight="1">
      <c r="A18" s="460"/>
      <c r="B18" s="957" t="s">
        <v>2105</v>
      </c>
      <c r="C18" s="957"/>
      <c r="D18" s="957"/>
      <c r="E18" s="957"/>
      <c r="F18" s="957"/>
    </row>
    <row r="19" spans="1:6" ht="15" customHeight="1">
      <c r="A19" s="460"/>
      <c r="B19" s="957" t="s">
        <v>2106</v>
      </c>
      <c r="C19" s="957"/>
      <c r="D19" s="957"/>
      <c r="E19" s="957"/>
      <c r="F19" s="957"/>
    </row>
    <row r="20" spans="1:6" ht="15" customHeight="1">
      <c r="A20" s="460"/>
      <c r="B20" s="461"/>
      <c r="C20" s="461"/>
      <c r="D20" s="461"/>
      <c r="E20" s="470"/>
    </row>
    <row r="21" spans="1:6" ht="15" customHeight="1">
      <c r="A21" s="460"/>
      <c r="B21" s="461" t="s">
        <v>2116</v>
      </c>
      <c r="C21" s="461"/>
      <c r="D21" s="461"/>
      <c r="E21" s="470"/>
    </row>
    <row r="22" spans="1:6" ht="15" customHeight="1">
      <c r="A22" s="460"/>
      <c r="B22" s="461" t="s">
        <v>2117</v>
      </c>
      <c r="C22" s="461"/>
      <c r="D22" s="461"/>
      <c r="E22" s="470"/>
    </row>
    <row r="23" spans="1:6" ht="15" customHeight="1">
      <c r="A23" s="460"/>
      <c r="B23" s="461"/>
      <c r="C23" s="461"/>
      <c r="D23" s="461"/>
      <c r="E23" s="470"/>
    </row>
    <row r="24" spans="1:6" ht="15" customHeight="1">
      <c r="A24" s="460"/>
      <c r="B24" s="461" t="s">
        <v>2118</v>
      </c>
      <c r="C24" s="461"/>
      <c r="D24" s="461"/>
      <c r="E24" s="470"/>
    </row>
    <row r="25" spans="1:6" ht="15" customHeight="1">
      <c r="A25" s="460"/>
      <c r="B25" s="461"/>
      <c r="C25" s="461"/>
      <c r="D25" s="461"/>
      <c r="E25" s="470"/>
    </row>
    <row r="26" spans="1:6" ht="15" customHeight="1">
      <c r="A26" s="460"/>
      <c r="B26" s="461" t="s">
        <v>2121</v>
      </c>
      <c r="C26" s="461"/>
      <c r="D26" s="461"/>
      <c r="E26" s="470"/>
    </row>
    <row r="27" spans="1:6" ht="15" customHeight="1">
      <c r="A27" s="460"/>
      <c r="B27" s="461"/>
      <c r="C27" s="461"/>
      <c r="D27" s="461"/>
      <c r="E27" s="470"/>
    </row>
    <row r="28" spans="1:6" ht="15" customHeight="1">
      <c r="A28" s="460"/>
      <c r="B28" s="461"/>
      <c r="C28" s="461"/>
      <c r="D28" s="461"/>
      <c r="E28" s="470"/>
    </row>
    <row r="29" spans="1:6" ht="14.45" customHeight="1"/>
    <row r="30" spans="1:6" ht="14.45" customHeight="1"/>
    <row r="31" spans="1:6" ht="14.45" customHeight="1"/>
    <row r="32" spans="1:6" ht="13.15" thickBot="1"/>
    <row r="33" spans="1:7" ht="13.15" customHeight="1">
      <c r="A33" s="960" t="s">
        <v>1647</v>
      </c>
      <c r="B33" s="961"/>
      <c r="C33" s="961"/>
      <c r="D33" s="961"/>
      <c r="E33" s="961"/>
      <c r="F33" s="961"/>
      <c r="G33" s="962"/>
    </row>
    <row r="34" spans="1:7" ht="13.15" customHeight="1">
      <c r="A34" s="963"/>
      <c r="B34" s="964"/>
      <c r="C34" s="964"/>
      <c r="D34" s="964"/>
      <c r="E34" s="964"/>
      <c r="F34" s="964"/>
      <c r="G34" s="965"/>
    </row>
    <row r="35" spans="1:7" ht="13.15" customHeight="1">
      <c r="A35" s="963"/>
      <c r="B35" s="964"/>
      <c r="C35" s="964"/>
      <c r="D35" s="964"/>
      <c r="E35" s="964"/>
      <c r="F35" s="964"/>
      <c r="G35" s="965"/>
    </row>
    <row r="36" spans="1:7" ht="13.15" customHeight="1" thickBot="1">
      <c r="A36" s="966"/>
      <c r="B36" s="967"/>
      <c r="C36" s="967"/>
      <c r="D36" s="967"/>
      <c r="E36" s="967"/>
      <c r="F36" s="967"/>
      <c r="G36" s="968"/>
    </row>
    <row r="37" spans="1:7" ht="13.15" customHeight="1"/>
    <row r="38" spans="1:7" ht="13.15" customHeight="1"/>
    <row r="44" spans="1:7" ht="13.15" customHeight="1">
      <c r="A44" s="471"/>
      <c r="B44" s="471"/>
      <c r="C44" s="471"/>
      <c r="D44" s="471"/>
      <c r="E44" s="471"/>
      <c r="F44" s="471"/>
      <c r="G44" s="471"/>
    </row>
    <row r="45" spans="1:7" ht="13.15" customHeight="1">
      <c r="A45" s="471"/>
      <c r="B45" s="471"/>
      <c r="C45" s="471"/>
      <c r="D45" s="471"/>
      <c r="E45" s="471"/>
      <c r="F45" s="471"/>
      <c r="G45" s="471"/>
    </row>
    <row r="46" spans="1:7" ht="13.9" customHeight="1">
      <c r="A46" s="471"/>
      <c r="B46" s="471"/>
      <c r="C46" s="471"/>
      <c r="D46" s="471"/>
      <c r="E46" s="471"/>
      <c r="F46" s="471"/>
      <c r="G46" s="471"/>
    </row>
    <row r="55" spans="1:7" s="4" customFormat="1" ht="13.15">
      <c r="A55" s="472"/>
      <c r="B55" s="3" t="s">
        <v>1648</v>
      </c>
      <c r="C55" s="473"/>
      <c r="D55" s="474"/>
      <c r="E55" s="475"/>
      <c r="F55" s="475"/>
      <c r="G55" s="476"/>
    </row>
    <row r="56" spans="1:7" s="4" customFormat="1" ht="13.15">
      <c r="A56" s="477"/>
      <c r="B56" s="5"/>
      <c r="C56" s="478"/>
      <c r="D56" s="479"/>
      <c r="E56" s="480"/>
      <c r="F56" s="480"/>
      <c r="G56" s="476"/>
    </row>
    <row r="57" spans="1:7" s="4" customFormat="1" ht="35.25" customHeight="1">
      <c r="A57" s="481" t="s">
        <v>1177</v>
      </c>
      <c r="B57" s="958" t="s">
        <v>2098</v>
      </c>
      <c r="C57" s="958"/>
      <c r="D57" s="958"/>
      <c r="E57" s="958"/>
      <c r="F57" s="958"/>
      <c r="G57" s="483"/>
    </row>
    <row r="58" spans="1:7" s="4" customFormat="1" ht="13.15" customHeight="1">
      <c r="A58" s="481"/>
      <c r="B58" s="482"/>
      <c r="C58" s="482"/>
      <c r="D58" s="482"/>
      <c r="E58" s="482"/>
      <c r="F58" s="482"/>
      <c r="G58" s="483"/>
    </row>
    <row r="59" spans="1:7" s="4" customFormat="1" ht="52.5" customHeight="1">
      <c r="A59" s="481" t="s">
        <v>1190</v>
      </c>
      <c r="B59" s="958" t="s">
        <v>2099</v>
      </c>
      <c r="C59" s="958"/>
      <c r="D59" s="958"/>
      <c r="E59" s="958"/>
      <c r="F59" s="958"/>
      <c r="G59" s="483"/>
    </row>
    <row r="60" spans="1:7" s="4" customFormat="1" ht="13.15" customHeight="1">
      <c r="A60" s="481"/>
      <c r="B60" s="482"/>
      <c r="C60" s="482"/>
      <c r="D60" s="482"/>
      <c r="E60" s="482"/>
      <c r="F60" s="482"/>
      <c r="G60" s="483"/>
    </row>
    <row r="61" spans="1:7" s="4" customFormat="1" ht="67.5" customHeight="1">
      <c r="A61" s="481" t="s">
        <v>1257</v>
      </c>
      <c r="B61" s="958" t="s">
        <v>1649</v>
      </c>
      <c r="C61" s="958"/>
      <c r="D61" s="958"/>
      <c r="E61" s="958"/>
      <c r="F61" s="958"/>
      <c r="G61" s="483"/>
    </row>
    <row r="62" spans="1:7" s="4" customFormat="1" ht="45" customHeight="1">
      <c r="A62" s="477"/>
      <c r="B62" s="958" t="s">
        <v>1650</v>
      </c>
      <c r="C62" s="958"/>
      <c r="D62" s="958"/>
      <c r="E62" s="958"/>
      <c r="F62" s="958"/>
      <c r="G62" s="483"/>
    </row>
    <row r="63" spans="1:7" s="4" customFormat="1" ht="13.15" customHeight="1">
      <c r="A63" s="477"/>
      <c r="B63" s="482"/>
      <c r="C63" s="482"/>
      <c r="D63" s="482"/>
      <c r="E63" s="482"/>
      <c r="F63" s="482"/>
      <c r="G63" s="483"/>
    </row>
    <row r="64" spans="1:7" s="4" customFormat="1" ht="30" customHeight="1">
      <c r="A64" s="481" t="s">
        <v>1259</v>
      </c>
      <c r="B64" s="958" t="s">
        <v>2100</v>
      </c>
      <c r="C64" s="958"/>
      <c r="D64" s="958"/>
      <c r="E64" s="958"/>
      <c r="F64" s="958"/>
      <c r="G64" s="483"/>
    </row>
    <row r="65" spans="1:7" s="4" customFormat="1" ht="13.15" customHeight="1">
      <c r="A65" s="481"/>
      <c r="B65" s="482"/>
      <c r="C65" s="482"/>
      <c r="D65" s="482"/>
      <c r="E65" s="482"/>
      <c r="F65" s="482"/>
      <c r="G65" s="483"/>
    </row>
    <row r="66" spans="1:7" s="4" customFormat="1" ht="27.75" customHeight="1">
      <c r="A66" s="481" t="s">
        <v>1261</v>
      </c>
      <c r="B66" s="958" t="s">
        <v>1651</v>
      </c>
      <c r="C66" s="958"/>
      <c r="D66" s="958"/>
      <c r="E66" s="958"/>
      <c r="F66" s="958"/>
      <c r="G66" s="483"/>
    </row>
    <row r="67" spans="1:7" s="4" customFormat="1" ht="13.15" customHeight="1">
      <c r="A67" s="481"/>
      <c r="B67" s="482"/>
      <c r="C67" s="482"/>
      <c r="D67" s="482"/>
      <c r="E67" s="482"/>
      <c r="F67" s="482"/>
      <c r="G67" s="483"/>
    </row>
    <row r="68" spans="1:7" s="4" customFormat="1" ht="57.75" customHeight="1">
      <c r="A68" s="481" t="s">
        <v>1263</v>
      </c>
      <c r="B68" s="958" t="s">
        <v>1652</v>
      </c>
      <c r="C68" s="958"/>
      <c r="D68" s="958"/>
      <c r="E68" s="958"/>
      <c r="F68" s="958"/>
      <c r="G68" s="483"/>
    </row>
    <row r="69" spans="1:7" s="4" customFormat="1" ht="13.15" customHeight="1">
      <c r="A69" s="481"/>
      <c r="B69" s="482"/>
      <c r="C69" s="482"/>
      <c r="D69" s="482"/>
      <c r="E69" s="482"/>
      <c r="F69" s="482"/>
      <c r="G69" s="483"/>
    </row>
    <row r="70" spans="1:7" s="4" customFormat="1" ht="62.45" customHeight="1">
      <c r="A70" s="481" t="s">
        <v>1281</v>
      </c>
      <c r="B70" s="958" t="s">
        <v>1653</v>
      </c>
      <c r="C70" s="958"/>
      <c r="D70" s="958"/>
      <c r="E70" s="958"/>
      <c r="F70" s="958"/>
      <c r="G70" s="483"/>
    </row>
    <row r="71" spans="1:7" s="4" customFormat="1" ht="13.15" customHeight="1">
      <c r="A71" s="481"/>
      <c r="B71" s="482"/>
      <c r="C71" s="482"/>
      <c r="D71" s="482"/>
      <c r="E71" s="482"/>
      <c r="F71" s="482"/>
      <c r="G71" s="483"/>
    </row>
    <row r="72" spans="1:7" s="4" customFormat="1" ht="13.15">
      <c r="A72" s="481" t="s">
        <v>1284</v>
      </c>
      <c r="B72" s="958" t="s">
        <v>1654</v>
      </c>
      <c r="C72" s="958"/>
      <c r="D72" s="958"/>
      <c r="E72" s="958"/>
      <c r="F72" s="958"/>
      <c r="G72" s="483"/>
    </row>
    <row r="73" spans="1:7" s="4" customFormat="1" ht="13.15" customHeight="1">
      <c r="A73" s="477"/>
      <c r="B73" s="958" t="s">
        <v>1655</v>
      </c>
      <c r="C73" s="958"/>
      <c r="D73" s="958"/>
      <c r="E73" s="958"/>
      <c r="F73" s="958"/>
      <c r="G73" s="483"/>
    </row>
    <row r="74" spans="1:7" s="4" customFormat="1" ht="13.15" customHeight="1">
      <c r="A74" s="477"/>
      <c r="B74" s="958" t="s">
        <v>1656</v>
      </c>
      <c r="C74" s="958"/>
      <c r="D74" s="958"/>
      <c r="E74" s="958"/>
      <c r="F74" s="958"/>
      <c r="G74" s="483"/>
    </row>
    <row r="75" spans="1:7" s="4" customFormat="1" ht="13.15" customHeight="1">
      <c r="A75" s="477"/>
      <c r="B75" s="970" t="s">
        <v>1657</v>
      </c>
      <c r="C75" s="970"/>
      <c r="D75" s="970"/>
      <c r="E75" s="970"/>
      <c r="F75" s="970"/>
      <c r="G75" s="970"/>
    </row>
    <row r="76" spans="1:7" s="4" customFormat="1" ht="13.15" customHeight="1">
      <c r="A76" s="477"/>
      <c r="B76" s="970" t="s">
        <v>1658</v>
      </c>
      <c r="C76" s="970"/>
      <c r="D76" s="970"/>
      <c r="E76" s="970"/>
      <c r="F76" s="970"/>
      <c r="G76" s="970"/>
    </row>
    <row r="77" spans="1:7" s="4" customFormat="1" ht="13.15" customHeight="1">
      <c r="A77" s="477"/>
      <c r="B77" s="970" t="s">
        <v>1659</v>
      </c>
      <c r="C77" s="970"/>
      <c r="D77" s="970"/>
      <c r="E77" s="970"/>
      <c r="F77" s="970"/>
      <c r="G77" s="970"/>
    </row>
    <row r="78" spans="1:7" s="4" customFormat="1" ht="13.15" customHeight="1">
      <c r="A78" s="477"/>
      <c r="B78" s="970" t="s">
        <v>1660</v>
      </c>
      <c r="C78" s="970"/>
      <c r="D78" s="970"/>
      <c r="E78" s="970"/>
      <c r="F78" s="970"/>
      <c r="G78" s="970"/>
    </row>
    <row r="79" spans="1:7" s="4" customFormat="1" ht="13.15" customHeight="1">
      <c r="A79" s="477"/>
      <c r="B79" s="970" t="s">
        <v>1661</v>
      </c>
      <c r="C79" s="970"/>
      <c r="D79" s="970"/>
      <c r="E79" s="970"/>
      <c r="F79" s="970"/>
      <c r="G79" s="970"/>
    </row>
    <row r="80" spans="1:7" s="4" customFormat="1" ht="13.15" customHeight="1">
      <c r="A80" s="477"/>
      <c r="B80" s="970" t="s">
        <v>1662</v>
      </c>
      <c r="C80" s="970"/>
      <c r="D80" s="970"/>
      <c r="E80" s="970"/>
      <c r="F80" s="970"/>
      <c r="G80" s="970"/>
    </row>
    <row r="81" spans="1:7" s="4" customFormat="1" ht="13.15" customHeight="1">
      <c r="A81" s="477"/>
      <c r="B81" s="970" t="s">
        <v>1663</v>
      </c>
      <c r="C81" s="970"/>
      <c r="D81" s="970"/>
      <c r="E81" s="970"/>
      <c r="F81" s="970"/>
      <c r="G81" s="970"/>
    </row>
    <row r="82" spans="1:7" s="4" customFormat="1" ht="13.15" customHeight="1">
      <c r="A82" s="477"/>
      <c r="B82" s="970" t="s">
        <v>1664</v>
      </c>
      <c r="C82" s="970"/>
      <c r="D82" s="970"/>
      <c r="E82" s="970"/>
      <c r="F82" s="970"/>
      <c r="G82" s="970"/>
    </row>
    <row r="83" spans="1:7" s="4" customFormat="1" ht="13.15" customHeight="1">
      <c r="A83" s="477"/>
      <c r="B83" s="970" t="s">
        <v>1665</v>
      </c>
      <c r="C83" s="970"/>
      <c r="D83" s="970"/>
      <c r="E83" s="970"/>
      <c r="F83" s="970"/>
      <c r="G83" s="970"/>
    </row>
    <row r="84" spans="1:7" s="4" customFormat="1" ht="13.15" customHeight="1">
      <c r="A84" s="477"/>
      <c r="B84" s="958"/>
      <c r="C84" s="958"/>
      <c r="D84" s="958"/>
      <c r="E84" s="958"/>
      <c r="F84" s="958"/>
      <c r="G84" s="483"/>
    </row>
    <row r="85" spans="1:7" s="4" customFormat="1" ht="69" customHeight="1">
      <c r="A85" s="481" t="s">
        <v>1286</v>
      </c>
      <c r="B85" s="958" t="s">
        <v>1666</v>
      </c>
      <c r="C85" s="958"/>
      <c r="D85" s="958"/>
      <c r="E85" s="958"/>
      <c r="F85" s="958"/>
      <c r="G85" s="483"/>
    </row>
    <row r="86" spans="1:7" s="4" customFormat="1" ht="13.15" customHeight="1">
      <c r="A86" s="477"/>
      <c r="B86" s="482"/>
      <c r="C86" s="482"/>
      <c r="D86" s="482"/>
      <c r="E86" s="482"/>
      <c r="F86" s="482"/>
      <c r="G86" s="483"/>
    </row>
    <row r="87" spans="1:7" s="4" customFormat="1" ht="119.25" customHeight="1">
      <c r="A87" s="481" t="s">
        <v>1288</v>
      </c>
      <c r="B87" s="958" t="s">
        <v>1667</v>
      </c>
      <c r="C87" s="958"/>
      <c r="D87" s="958"/>
      <c r="E87" s="958"/>
      <c r="F87" s="958"/>
      <c r="G87" s="483"/>
    </row>
    <row r="88" spans="1:7" s="4" customFormat="1" ht="13.15" customHeight="1">
      <c r="A88" s="477"/>
      <c r="B88" s="482"/>
      <c r="C88" s="482"/>
      <c r="D88" s="482"/>
      <c r="E88" s="482"/>
      <c r="F88" s="482"/>
      <c r="G88" s="483"/>
    </row>
    <row r="89" spans="1:7" s="4" customFormat="1" ht="57" customHeight="1">
      <c r="A89" s="481" t="s">
        <v>1290</v>
      </c>
      <c r="B89" s="958" t="s">
        <v>1668</v>
      </c>
      <c r="C89" s="958"/>
      <c r="D89" s="958"/>
      <c r="E89" s="958"/>
      <c r="F89" s="958"/>
      <c r="G89" s="483"/>
    </row>
    <row r="90" spans="1:7" s="4" customFormat="1" ht="13.15" customHeight="1">
      <c r="A90" s="477"/>
      <c r="B90" s="482"/>
      <c r="C90" s="482"/>
      <c r="D90" s="482"/>
      <c r="E90" s="482"/>
      <c r="F90" s="482"/>
      <c r="G90" s="483"/>
    </row>
    <row r="91" spans="1:7" s="4" customFormat="1" ht="42.6" customHeight="1">
      <c r="A91" s="481" t="s">
        <v>1292</v>
      </c>
      <c r="B91" s="958" t="s">
        <v>1669</v>
      </c>
      <c r="C91" s="958"/>
      <c r="D91" s="958"/>
      <c r="E91" s="958"/>
      <c r="F91" s="958"/>
      <c r="G91" s="483"/>
    </row>
    <row r="92" spans="1:7" s="4" customFormat="1" ht="13.15" customHeight="1">
      <c r="A92" s="477"/>
      <c r="B92" s="482"/>
      <c r="C92" s="482"/>
      <c r="D92" s="482"/>
      <c r="E92" s="482"/>
      <c r="F92" s="482"/>
      <c r="G92" s="483"/>
    </row>
    <row r="93" spans="1:7" s="4" customFormat="1" ht="46.9" customHeight="1">
      <c r="A93" s="481" t="s">
        <v>1294</v>
      </c>
      <c r="B93" s="958" t="s">
        <v>1670</v>
      </c>
      <c r="C93" s="958"/>
      <c r="D93" s="958"/>
      <c r="E93" s="958"/>
      <c r="F93" s="958"/>
      <c r="G93" s="483"/>
    </row>
    <row r="94" spans="1:7" s="4" customFormat="1" ht="61.5" customHeight="1">
      <c r="A94" s="477"/>
      <c r="B94" s="958" t="s">
        <v>1671</v>
      </c>
      <c r="C94" s="958"/>
      <c r="D94" s="958"/>
      <c r="E94" s="958"/>
      <c r="F94" s="958"/>
      <c r="G94" s="483"/>
    </row>
    <row r="95" spans="1:7" s="4" customFormat="1" ht="44.45" customHeight="1">
      <c r="A95" s="477"/>
      <c r="B95" s="958" t="s">
        <v>1672</v>
      </c>
      <c r="C95" s="958"/>
      <c r="D95" s="958"/>
      <c r="E95" s="958"/>
      <c r="F95" s="958"/>
      <c r="G95" s="483"/>
    </row>
    <row r="96" spans="1:7" s="4" customFormat="1" ht="13.15" customHeight="1">
      <c r="A96" s="477"/>
      <c r="B96" s="482"/>
      <c r="C96" s="482"/>
      <c r="D96" s="482"/>
      <c r="E96" s="482"/>
      <c r="F96" s="482"/>
      <c r="G96" s="483"/>
    </row>
    <row r="97" spans="1:7" s="4" customFormat="1" ht="56.45" customHeight="1">
      <c r="A97" s="481" t="s">
        <v>1297</v>
      </c>
      <c r="B97" s="958" t="s">
        <v>1673</v>
      </c>
      <c r="C97" s="958"/>
      <c r="D97" s="958"/>
      <c r="E97" s="958"/>
      <c r="F97" s="958"/>
      <c r="G97" s="483"/>
    </row>
    <row r="98" spans="1:7" s="4" customFormat="1" ht="13.15" customHeight="1">
      <c r="A98" s="477"/>
      <c r="B98" s="482"/>
      <c r="C98" s="482"/>
      <c r="D98" s="482"/>
      <c r="E98" s="482"/>
      <c r="F98" s="482"/>
      <c r="G98" s="483"/>
    </row>
    <row r="99" spans="1:7" s="4" customFormat="1" ht="42.6" customHeight="1">
      <c r="A99" s="481" t="s">
        <v>1299</v>
      </c>
      <c r="B99" s="958" t="s">
        <v>1674</v>
      </c>
      <c r="C99" s="958"/>
      <c r="D99" s="958"/>
      <c r="E99" s="958"/>
      <c r="F99" s="958"/>
      <c r="G99" s="483"/>
    </row>
    <row r="100" spans="1:7" s="4" customFormat="1" ht="13.15" customHeight="1">
      <c r="A100" s="477"/>
      <c r="B100" s="482"/>
      <c r="C100" s="482"/>
      <c r="D100" s="482"/>
      <c r="E100" s="482"/>
      <c r="F100" s="482"/>
      <c r="G100" s="483"/>
    </row>
    <row r="101" spans="1:7" s="4" customFormat="1" ht="43.15" customHeight="1">
      <c r="A101" s="481" t="s">
        <v>1301</v>
      </c>
      <c r="B101" s="958" t="s">
        <v>1675</v>
      </c>
      <c r="C101" s="958"/>
      <c r="D101" s="958"/>
      <c r="E101" s="958"/>
      <c r="F101" s="958"/>
      <c r="G101" s="483"/>
    </row>
    <row r="102" spans="1:7" s="4" customFormat="1" ht="13.15" customHeight="1">
      <c r="A102" s="477"/>
      <c r="B102" s="482"/>
      <c r="C102" s="482"/>
      <c r="D102" s="482"/>
      <c r="E102" s="482"/>
      <c r="F102" s="482"/>
      <c r="G102" s="483"/>
    </row>
    <row r="103" spans="1:7" s="4" customFormat="1" ht="65.25" customHeight="1">
      <c r="A103" s="481" t="s">
        <v>139</v>
      </c>
      <c r="B103" s="958" t="s">
        <v>1841</v>
      </c>
      <c r="C103" s="958"/>
      <c r="D103" s="958"/>
      <c r="E103" s="958"/>
      <c r="F103" s="958"/>
      <c r="G103" s="483"/>
    </row>
    <row r="104" spans="1:7" s="4" customFormat="1" ht="13.15" customHeight="1">
      <c r="A104" s="477"/>
      <c r="B104" s="482"/>
      <c r="C104" s="482"/>
      <c r="D104" s="482"/>
      <c r="E104" s="482"/>
      <c r="F104" s="482"/>
      <c r="G104" s="483"/>
    </row>
    <row r="105" spans="1:7" s="4" customFormat="1" ht="56.45" customHeight="1">
      <c r="A105" s="481" t="s">
        <v>1304</v>
      </c>
      <c r="B105" s="958" t="s">
        <v>1676</v>
      </c>
      <c r="C105" s="958"/>
      <c r="D105" s="958"/>
      <c r="E105" s="958"/>
      <c r="F105" s="958"/>
      <c r="G105" s="483"/>
    </row>
    <row r="106" spans="1:7" s="4" customFormat="1" ht="13.15" customHeight="1">
      <c r="A106" s="477"/>
      <c r="B106" s="482"/>
      <c r="C106" s="482"/>
      <c r="D106" s="482"/>
      <c r="E106" s="482"/>
      <c r="F106" s="482"/>
      <c r="G106" s="483"/>
    </row>
    <row r="107" spans="1:7" s="4" customFormat="1" ht="95.25" customHeight="1">
      <c r="A107" s="481" t="s">
        <v>1306</v>
      </c>
      <c r="B107" s="958" t="s">
        <v>1677</v>
      </c>
      <c r="C107" s="958"/>
      <c r="D107" s="958"/>
      <c r="E107" s="958"/>
      <c r="F107" s="958"/>
      <c r="G107" s="483"/>
    </row>
    <row r="108" spans="1:7" s="4" customFormat="1" ht="13.15" customHeight="1">
      <c r="A108" s="477"/>
      <c r="B108" s="482"/>
      <c r="C108" s="482"/>
      <c r="D108" s="482"/>
      <c r="E108" s="482"/>
      <c r="F108" s="482"/>
      <c r="G108" s="483"/>
    </row>
    <row r="109" spans="1:7" s="4" customFormat="1" ht="13.9" customHeight="1">
      <c r="A109" s="481" t="s">
        <v>1310</v>
      </c>
      <c r="B109" s="958" t="s">
        <v>1678</v>
      </c>
      <c r="C109" s="958"/>
      <c r="D109" s="958"/>
      <c r="E109" s="958"/>
      <c r="F109" s="958"/>
      <c r="G109" s="483"/>
    </row>
    <row r="110" spans="1:7" s="4" customFormat="1" ht="31.5" customHeight="1">
      <c r="A110" s="477"/>
      <c r="B110" s="972" t="s">
        <v>1679</v>
      </c>
      <c r="C110" s="972"/>
      <c r="D110" s="972"/>
      <c r="E110" s="972"/>
      <c r="F110" s="972"/>
      <c r="G110" s="484"/>
    </row>
    <row r="111" spans="1:7" s="4" customFormat="1" ht="18.75" customHeight="1">
      <c r="A111" s="477"/>
      <c r="B111" s="972" t="s">
        <v>1680</v>
      </c>
      <c r="C111" s="972"/>
      <c r="D111" s="972"/>
      <c r="E111" s="972"/>
      <c r="F111" s="972"/>
      <c r="G111" s="484"/>
    </row>
    <row r="112" spans="1:7" s="4" customFormat="1" ht="31.15" customHeight="1">
      <c r="A112" s="477"/>
      <c r="B112" s="972" t="s">
        <v>1681</v>
      </c>
      <c r="C112" s="972"/>
      <c r="D112" s="972"/>
      <c r="E112" s="972"/>
      <c r="F112" s="972"/>
      <c r="G112" s="484"/>
    </row>
    <row r="113" spans="1:7" s="4" customFormat="1" ht="26.25" customHeight="1">
      <c r="A113" s="477"/>
      <c r="B113" s="971" t="s">
        <v>1682</v>
      </c>
      <c r="C113" s="971"/>
      <c r="D113" s="971"/>
      <c r="E113" s="971"/>
      <c r="F113" s="971"/>
      <c r="G113" s="484"/>
    </row>
    <row r="114" spans="1:7" s="4" customFormat="1" ht="13.9" customHeight="1">
      <c r="A114" s="477"/>
      <c r="B114" s="971" t="s">
        <v>1683</v>
      </c>
      <c r="C114" s="971"/>
      <c r="D114" s="971"/>
      <c r="E114" s="971"/>
      <c r="F114" s="971"/>
      <c r="G114" s="484"/>
    </row>
    <row r="115" spans="1:7" s="4" customFormat="1" ht="13.9" customHeight="1">
      <c r="A115" s="477"/>
      <c r="B115" s="971" t="s">
        <v>1684</v>
      </c>
      <c r="C115" s="971"/>
      <c r="D115" s="971"/>
      <c r="E115" s="971"/>
      <c r="F115" s="971"/>
      <c r="G115" s="484"/>
    </row>
    <row r="116" spans="1:7" s="4" customFormat="1" ht="13.9" customHeight="1">
      <c r="A116" s="477"/>
      <c r="B116" s="971" t="s">
        <v>1685</v>
      </c>
      <c r="C116" s="971"/>
      <c r="D116" s="971"/>
      <c r="E116" s="971"/>
      <c r="F116" s="971"/>
      <c r="G116" s="484"/>
    </row>
    <row r="117" spans="1:7" s="4" customFormat="1" ht="13.9" customHeight="1">
      <c r="A117" s="477"/>
      <c r="B117" s="482"/>
      <c r="C117" s="482"/>
      <c r="D117" s="482"/>
      <c r="E117" s="482"/>
      <c r="F117" s="482"/>
      <c r="G117" s="483"/>
    </row>
    <row r="118" spans="1:7" s="4" customFormat="1" ht="50.25" customHeight="1">
      <c r="A118" s="481" t="s">
        <v>1312</v>
      </c>
      <c r="B118" s="958" t="s">
        <v>2101</v>
      </c>
      <c r="C118" s="958"/>
      <c r="D118" s="958"/>
      <c r="E118" s="958"/>
      <c r="F118" s="958"/>
      <c r="G118" s="483"/>
    </row>
    <row r="119" spans="1:7" s="4" customFormat="1" ht="13.15" customHeight="1">
      <c r="A119" s="477"/>
      <c r="B119" s="482"/>
      <c r="C119" s="482"/>
      <c r="D119" s="482"/>
      <c r="E119" s="482"/>
      <c r="F119" s="482"/>
      <c r="G119" s="483"/>
    </row>
    <row r="120" spans="1:7" s="4" customFormat="1" ht="71.25" customHeight="1">
      <c r="A120" s="481" t="s">
        <v>1314</v>
      </c>
      <c r="B120" s="958" t="s">
        <v>1686</v>
      </c>
      <c r="C120" s="958"/>
      <c r="D120" s="958"/>
      <c r="E120" s="958"/>
      <c r="F120" s="958"/>
      <c r="G120" s="483"/>
    </row>
    <row r="121" spans="1:7" s="4" customFormat="1" ht="13.15" customHeight="1">
      <c r="A121" s="477"/>
      <c r="B121" s="482"/>
      <c r="C121" s="482"/>
      <c r="D121" s="482"/>
      <c r="E121" s="482"/>
      <c r="F121" s="482"/>
      <c r="G121" s="483"/>
    </row>
    <row r="122" spans="1:7" s="4" customFormat="1" ht="48" customHeight="1">
      <c r="A122" s="481" t="s">
        <v>1316</v>
      </c>
      <c r="B122" s="958" t="s">
        <v>1687</v>
      </c>
      <c r="C122" s="958"/>
      <c r="D122" s="958"/>
      <c r="E122" s="958"/>
      <c r="F122" s="958"/>
      <c r="G122" s="483"/>
    </row>
    <row r="123" spans="1:7" s="4" customFormat="1" ht="43.5" customHeight="1">
      <c r="A123" s="481"/>
      <c r="B123" s="958" t="s">
        <v>1688</v>
      </c>
      <c r="C123" s="958"/>
      <c r="D123" s="958"/>
      <c r="E123" s="958"/>
      <c r="F123" s="958"/>
      <c r="G123" s="483"/>
    </row>
    <row r="124" spans="1:7" s="4" customFormat="1" ht="40.5" customHeight="1">
      <c r="A124" s="481"/>
      <c r="B124" s="973" t="s">
        <v>1689</v>
      </c>
      <c r="C124" s="973"/>
      <c r="D124" s="973"/>
      <c r="E124" s="973"/>
      <c r="F124" s="973"/>
      <c r="G124" s="483"/>
    </row>
    <row r="125" spans="1:7" s="4" customFormat="1" ht="13.15" customHeight="1">
      <c r="A125" s="477"/>
      <c r="B125" s="482"/>
      <c r="C125" s="482"/>
      <c r="D125" s="482"/>
      <c r="E125" s="482"/>
      <c r="F125" s="482"/>
      <c r="G125" s="483"/>
    </row>
    <row r="126" spans="1:7" s="4" customFormat="1" ht="31.15" customHeight="1">
      <c r="A126" s="481" t="s">
        <v>1318</v>
      </c>
      <c r="B126" s="958" t="s">
        <v>1690</v>
      </c>
      <c r="C126" s="958"/>
      <c r="D126" s="958"/>
      <c r="E126" s="958"/>
      <c r="F126" s="958"/>
      <c r="G126" s="483"/>
    </row>
    <row r="127" spans="1:7" s="4" customFormat="1" ht="13.15" customHeight="1">
      <c r="A127" s="477"/>
      <c r="B127" s="482"/>
      <c r="C127" s="482"/>
      <c r="D127" s="482"/>
      <c r="E127" s="482"/>
      <c r="F127" s="482"/>
      <c r="G127" s="483"/>
    </row>
    <row r="128" spans="1:7" s="4" customFormat="1" ht="82.9" customHeight="1">
      <c r="A128" s="481" t="s">
        <v>1321</v>
      </c>
      <c r="B128" s="958" t="s">
        <v>1691</v>
      </c>
      <c r="C128" s="958"/>
      <c r="D128" s="958"/>
      <c r="E128" s="958"/>
      <c r="F128" s="958"/>
      <c r="G128" s="483"/>
    </row>
    <row r="129" spans="1:7" s="4" customFormat="1" ht="13.9" customHeight="1">
      <c r="A129" s="477"/>
      <c r="B129" s="485"/>
      <c r="C129" s="485"/>
      <c r="D129" s="485"/>
      <c r="E129" s="485"/>
      <c r="F129" s="485"/>
      <c r="G129" s="476"/>
    </row>
    <row r="130" spans="1:7" s="4" customFormat="1" ht="13.9" customHeight="1">
      <c r="A130" s="472"/>
      <c r="B130" s="3" t="s">
        <v>1692</v>
      </c>
      <c r="C130" s="486"/>
      <c r="D130" s="486"/>
      <c r="E130" s="486"/>
      <c r="F130" s="486"/>
      <c r="G130" s="476"/>
    </row>
    <row r="131" spans="1:7" s="4" customFormat="1" ht="13.9" customHeight="1">
      <c r="A131" s="477"/>
      <c r="B131" s="485"/>
      <c r="C131" s="485"/>
      <c r="D131" s="485"/>
      <c r="E131" s="485"/>
      <c r="F131" s="485"/>
      <c r="G131" s="476"/>
    </row>
    <row r="132" spans="1:7" s="4" customFormat="1" ht="44.45" customHeight="1">
      <c r="A132" s="481" t="s">
        <v>1323</v>
      </c>
      <c r="B132" s="958" t="s">
        <v>1693</v>
      </c>
      <c r="C132" s="958"/>
      <c r="D132" s="958"/>
      <c r="E132" s="958"/>
      <c r="F132" s="958"/>
      <c r="G132" s="476"/>
    </row>
    <row r="133" spans="1:7" s="4" customFormat="1" ht="13.9" customHeight="1">
      <c r="A133" s="477"/>
      <c r="B133" s="971" t="s">
        <v>1694</v>
      </c>
      <c r="C133" s="971"/>
      <c r="D133" s="971"/>
      <c r="E133" s="971"/>
      <c r="F133" s="971"/>
      <c r="G133" s="476"/>
    </row>
    <row r="134" spans="1:7" s="4" customFormat="1" ht="36" customHeight="1">
      <c r="A134" s="477"/>
      <c r="B134" s="972" t="s">
        <v>1695</v>
      </c>
      <c r="C134" s="971"/>
      <c r="D134" s="971"/>
      <c r="E134" s="971"/>
      <c r="F134" s="971"/>
      <c r="G134" s="476"/>
    </row>
    <row r="135" spans="1:7" s="4" customFormat="1" ht="33" customHeight="1">
      <c r="A135" s="477"/>
      <c r="B135" s="972" t="s">
        <v>1696</v>
      </c>
      <c r="C135" s="971"/>
      <c r="D135" s="971"/>
      <c r="E135" s="971"/>
      <c r="F135" s="971"/>
      <c r="G135" s="476"/>
    </row>
    <row r="136" spans="1:7" s="4" customFormat="1" ht="13.15" customHeight="1">
      <c r="A136" s="477"/>
      <c r="B136" s="485"/>
      <c r="C136" s="485"/>
      <c r="D136" s="485"/>
      <c r="E136" s="485"/>
      <c r="F136" s="485"/>
      <c r="G136" s="476"/>
    </row>
    <row r="137" spans="1:7" s="4" customFormat="1" ht="13.15" customHeight="1">
      <c r="A137" s="472"/>
      <c r="B137" s="3" t="s">
        <v>1697</v>
      </c>
      <c r="C137" s="486"/>
      <c r="D137" s="486"/>
      <c r="E137" s="486"/>
      <c r="F137" s="486"/>
      <c r="G137" s="476"/>
    </row>
    <row r="138" spans="1:7" s="4" customFormat="1" ht="13.15" customHeight="1">
      <c r="A138" s="477"/>
      <c r="B138" s="485"/>
      <c r="C138" s="485"/>
      <c r="D138" s="485"/>
      <c r="E138" s="485"/>
      <c r="F138" s="485"/>
      <c r="G138" s="476"/>
    </row>
    <row r="139" spans="1:7" s="4" customFormat="1" ht="57" customHeight="1">
      <c r="A139" s="481" t="s">
        <v>1325</v>
      </c>
      <c r="B139" s="958" t="s">
        <v>1698</v>
      </c>
      <c r="C139" s="958"/>
      <c r="D139" s="958"/>
      <c r="E139" s="958"/>
      <c r="F139" s="958"/>
      <c r="G139" s="476"/>
    </row>
    <row r="140" spans="1:7" s="4" customFormat="1" ht="13.15" customHeight="1">
      <c r="A140" s="477"/>
      <c r="B140" s="485"/>
      <c r="C140" s="485"/>
      <c r="D140" s="485"/>
      <c r="E140" s="485"/>
      <c r="F140" s="485"/>
      <c r="G140" s="476"/>
    </row>
    <row r="141" spans="1:7" s="4" customFormat="1" ht="74.45" customHeight="1">
      <c r="A141" s="481" t="s">
        <v>1327</v>
      </c>
      <c r="B141" s="958" t="s">
        <v>1699</v>
      </c>
      <c r="C141" s="958"/>
      <c r="D141" s="958"/>
      <c r="E141" s="958"/>
      <c r="F141" s="958"/>
      <c r="G141" s="476"/>
    </row>
    <row r="142" spans="1:7" s="4" customFormat="1" ht="13.15" customHeight="1">
      <c r="A142" s="477"/>
      <c r="B142" s="485"/>
      <c r="C142" s="485"/>
      <c r="D142" s="485"/>
      <c r="E142" s="485"/>
      <c r="F142" s="485"/>
      <c r="G142" s="476"/>
    </row>
    <row r="143" spans="1:7" s="4" customFormat="1" ht="54.75" customHeight="1">
      <c r="A143" s="481" t="s">
        <v>1329</v>
      </c>
      <c r="B143" s="958" t="s">
        <v>1700</v>
      </c>
      <c r="C143" s="958"/>
      <c r="D143" s="958"/>
      <c r="E143" s="958"/>
      <c r="F143" s="958"/>
      <c r="G143" s="476"/>
    </row>
    <row r="144" spans="1:7" s="4" customFormat="1" ht="13.15" customHeight="1">
      <c r="A144" s="477"/>
      <c r="B144" s="485"/>
      <c r="C144" s="485"/>
      <c r="D144" s="485"/>
      <c r="E144" s="485"/>
      <c r="F144" s="485"/>
      <c r="G144" s="476"/>
    </row>
    <row r="145" spans="1:7" s="4" customFormat="1" ht="13.15" customHeight="1">
      <c r="A145" s="472"/>
      <c r="B145" s="3" t="s">
        <v>1701</v>
      </c>
      <c r="C145" s="486"/>
      <c r="D145" s="486"/>
      <c r="E145" s="486"/>
      <c r="F145" s="486"/>
      <c r="G145" s="476"/>
    </row>
    <row r="146" spans="1:7" s="4" customFormat="1" ht="13.15" customHeight="1">
      <c r="A146" s="477"/>
      <c r="B146" s="485"/>
      <c r="C146" s="485"/>
      <c r="D146" s="485"/>
      <c r="E146" s="485"/>
      <c r="F146" s="485"/>
      <c r="G146" s="476"/>
    </row>
    <row r="147" spans="1:7" s="4" customFormat="1" ht="99" customHeight="1">
      <c r="A147" s="481" t="s">
        <v>1331</v>
      </c>
      <c r="B147" s="958" t="s">
        <v>1702</v>
      </c>
      <c r="C147" s="958"/>
      <c r="D147" s="958"/>
      <c r="E147" s="958"/>
      <c r="F147" s="958"/>
      <c r="G147" s="476"/>
    </row>
    <row r="148" spans="1:7" s="4" customFormat="1" ht="13.15" customHeight="1">
      <c r="A148" s="477"/>
      <c r="B148" s="485"/>
      <c r="C148" s="485"/>
      <c r="D148" s="485"/>
      <c r="E148" s="485"/>
      <c r="F148" s="485"/>
      <c r="G148" s="476"/>
    </row>
    <row r="149" spans="1:7" s="4" customFormat="1" ht="13.15" customHeight="1">
      <c r="A149" s="472"/>
      <c r="B149" s="3" t="s">
        <v>1703</v>
      </c>
      <c r="C149" s="486"/>
      <c r="D149" s="486"/>
      <c r="E149" s="486"/>
      <c r="F149" s="486"/>
      <c r="G149" s="476"/>
    </row>
    <row r="150" spans="1:7" s="4" customFormat="1" ht="13.15" customHeight="1">
      <c r="A150" s="477"/>
      <c r="B150" s="485"/>
      <c r="C150" s="485"/>
      <c r="D150" s="485"/>
      <c r="E150" s="485"/>
      <c r="F150" s="485"/>
      <c r="G150" s="476"/>
    </row>
    <row r="151" spans="1:7" s="4" customFormat="1" ht="48" customHeight="1">
      <c r="A151" s="481" t="s">
        <v>1333</v>
      </c>
      <c r="B151" s="958" t="s">
        <v>2096</v>
      </c>
      <c r="C151" s="958"/>
      <c r="D151" s="958"/>
      <c r="E151" s="958"/>
      <c r="F151" s="958"/>
      <c r="G151" s="476"/>
    </row>
    <row r="152" spans="1:7" s="4" customFormat="1" ht="13.15" customHeight="1">
      <c r="A152" s="477"/>
      <c r="B152" s="485"/>
      <c r="C152" s="485"/>
      <c r="D152" s="485"/>
      <c r="E152" s="485"/>
      <c r="F152" s="485"/>
      <c r="G152" s="476"/>
    </row>
    <row r="153" spans="1:7" s="4" customFormat="1" ht="45" customHeight="1">
      <c r="A153" s="481" t="s">
        <v>1335</v>
      </c>
      <c r="B153" s="958" t="s">
        <v>1704</v>
      </c>
      <c r="C153" s="958"/>
      <c r="D153" s="958"/>
      <c r="E153" s="958"/>
      <c r="F153" s="958"/>
      <c r="G153" s="476"/>
    </row>
    <row r="154" spans="1:7" s="4" customFormat="1" ht="13.15" customHeight="1">
      <c r="A154" s="477"/>
      <c r="B154" s="485"/>
      <c r="C154" s="485"/>
      <c r="D154" s="485"/>
      <c r="E154" s="485"/>
      <c r="F154" s="485"/>
      <c r="G154" s="476"/>
    </row>
    <row r="155" spans="1:7" s="4" customFormat="1" ht="69" customHeight="1">
      <c r="A155" s="481" t="s">
        <v>1337</v>
      </c>
      <c r="B155" s="958" t="s">
        <v>1705</v>
      </c>
      <c r="C155" s="958"/>
      <c r="D155" s="958"/>
      <c r="E155" s="958"/>
      <c r="F155" s="958"/>
      <c r="G155" s="476"/>
    </row>
    <row r="156" spans="1:7" s="4" customFormat="1" ht="13.9" customHeight="1">
      <c r="A156" s="477"/>
      <c r="B156" s="485"/>
      <c r="C156" s="485"/>
      <c r="D156" s="485"/>
      <c r="E156" s="485"/>
      <c r="F156" s="485"/>
      <c r="G156" s="476"/>
    </row>
    <row r="157" spans="1:7" s="4" customFormat="1" ht="27.75" customHeight="1">
      <c r="A157" s="481" t="s">
        <v>1339</v>
      </c>
      <c r="B157" s="958" t="s">
        <v>1706</v>
      </c>
      <c r="C157" s="958"/>
      <c r="D157" s="958"/>
      <c r="E157" s="958"/>
      <c r="F157" s="958"/>
      <c r="G157" s="476"/>
    </row>
    <row r="158" spans="1:7" s="4" customFormat="1" ht="13.9" customHeight="1">
      <c r="A158" s="477"/>
      <c r="B158" s="485"/>
      <c r="C158" s="485"/>
      <c r="D158" s="485"/>
      <c r="E158" s="485"/>
      <c r="F158" s="485"/>
      <c r="G158" s="476"/>
    </row>
    <row r="159" spans="1:7" s="4" customFormat="1" ht="74.25" customHeight="1">
      <c r="A159" s="481" t="s">
        <v>1341</v>
      </c>
      <c r="B159" s="958" t="s">
        <v>2097</v>
      </c>
      <c r="C159" s="958"/>
      <c r="D159" s="958"/>
      <c r="E159" s="958"/>
      <c r="F159" s="958"/>
      <c r="G159" s="476"/>
    </row>
    <row r="160" spans="1:7" s="4" customFormat="1" ht="13.15" customHeight="1">
      <c r="A160" s="477"/>
      <c r="B160" s="485"/>
      <c r="C160" s="485"/>
      <c r="D160" s="485"/>
      <c r="E160" s="485"/>
      <c r="F160" s="485"/>
      <c r="G160" s="476"/>
    </row>
    <row r="161" spans="1:7" s="4" customFormat="1" ht="43.9" customHeight="1">
      <c r="A161" s="481" t="s">
        <v>1343</v>
      </c>
      <c r="B161" s="958" t="s">
        <v>1707</v>
      </c>
      <c r="C161" s="958"/>
      <c r="D161" s="958"/>
      <c r="E161" s="958"/>
      <c r="F161" s="958"/>
      <c r="G161" s="476"/>
    </row>
    <row r="162" spans="1:7" s="4" customFormat="1" ht="13.15" customHeight="1">
      <c r="A162" s="477"/>
      <c r="B162" s="485"/>
      <c r="C162" s="485"/>
      <c r="D162" s="485"/>
      <c r="E162" s="485"/>
      <c r="F162" s="485"/>
      <c r="G162" s="476"/>
    </row>
    <row r="163" spans="1:7" s="4" customFormat="1" ht="13.15" customHeight="1">
      <c r="A163" s="472"/>
      <c r="B163" s="3" t="s">
        <v>45</v>
      </c>
      <c r="C163" s="486"/>
      <c r="D163" s="486"/>
      <c r="E163" s="486"/>
      <c r="F163" s="486"/>
      <c r="G163" s="476"/>
    </row>
    <row r="164" spans="1:7" s="4" customFormat="1" ht="13.15" customHeight="1">
      <c r="A164" s="477"/>
      <c r="B164" s="485"/>
      <c r="C164" s="485"/>
      <c r="D164" s="485"/>
      <c r="E164" s="485"/>
      <c r="F164" s="485"/>
      <c r="G164" s="476"/>
    </row>
    <row r="165" spans="1:7" s="4" customFormat="1" ht="31.15" customHeight="1">
      <c r="A165" s="481" t="s">
        <v>1345</v>
      </c>
      <c r="B165" s="958" t="s">
        <v>1708</v>
      </c>
      <c r="C165" s="958"/>
      <c r="D165" s="958"/>
      <c r="E165" s="958"/>
      <c r="F165" s="958"/>
      <c r="G165" s="476"/>
    </row>
    <row r="166" spans="1:7" s="4" customFormat="1" ht="13.15" customHeight="1">
      <c r="A166" s="477"/>
      <c r="B166" s="485"/>
      <c r="C166" s="485"/>
      <c r="D166" s="485"/>
      <c r="E166" s="485"/>
      <c r="F166" s="485"/>
      <c r="G166" s="476"/>
    </row>
    <row r="167" spans="1:7" s="4" customFormat="1" ht="87.6" customHeight="1">
      <c r="A167" s="481" t="s">
        <v>1347</v>
      </c>
      <c r="B167" s="958" t="s">
        <v>1709</v>
      </c>
      <c r="C167" s="958"/>
      <c r="D167" s="958"/>
      <c r="E167" s="958"/>
      <c r="F167" s="958"/>
      <c r="G167" s="476"/>
    </row>
    <row r="168" spans="1:7" s="4" customFormat="1" ht="13.15" customHeight="1">
      <c r="A168" s="477"/>
      <c r="B168" s="485"/>
      <c r="C168" s="485"/>
      <c r="D168" s="485"/>
      <c r="E168" s="485"/>
      <c r="F168" s="485"/>
      <c r="G168" s="476"/>
    </row>
    <row r="169" spans="1:7" s="4" customFormat="1" ht="111.6" customHeight="1">
      <c r="A169" s="481" t="s">
        <v>1349</v>
      </c>
      <c r="B169" s="958" t="s">
        <v>1710</v>
      </c>
      <c r="C169" s="958"/>
      <c r="D169" s="958"/>
      <c r="E169" s="958"/>
      <c r="F169" s="958"/>
      <c r="G169" s="476"/>
    </row>
    <row r="170" spans="1:7" s="4" customFormat="1" ht="13.15" customHeight="1">
      <c r="A170" s="477"/>
      <c r="B170" s="485"/>
      <c r="C170" s="485"/>
      <c r="D170" s="485"/>
      <c r="E170" s="485"/>
      <c r="F170" s="485"/>
      <c r="G170" s="476"/>
    </row>
    <row r="171" spans="1:7" s="4" customFormat="1" ht="57.6" customHeight="1">
      <c r="A171" s="481" t="s">
        <v>1351</v>
      </c>
      <c r="B171" s="958" t="s">
        <v>1711</v>
      </c>
      <c r="C171" s="958"/>
      <c r="D171" s="958"/>
      <c r="E171" s="958"/>
      <c r="F171" s="958"/>
      <c r="G171" s="476"/>
    </row>
    <row r="172" spans="1:7" s="4" customFormat="1" ht="13.15" customHeight="1">
      <c r="A172" s="477"/>
      <c r="B172" s="485"/>
      <c r="C172" s="485"/>
      <c r="D172" s="485"/>
      <c r="E172" s="485"/>
      <c r="F172" s="485"/>
      <c r="G172" s="476"/>
    </row>
    <row r="173" spans="1:7" s="4" customFormat="1" ht="13.15" customHeight="1">
      <c r="A173" s="472"/>
      <c r="B173" s="3" t="s">
        <v>1712</v>
      </c>
      <c r="C173" s="486"/>
      <c r="D173" s="486"/>
      <c r="E173" s="486"/>
      <c r="F173" s="486"/>
      <c r="G173" s="476"/>
    </row>
    <row r="174" spans="1:7" s="4" customFormat="1" ht="13.15" customHeight="1">
      <c r="A174" s="477"/>
      <c r="B174" s="485"/>
      <c r="C174" s="485"/>
      <c r="D174" s="485"/>
      <c r="E174" s="485"/>
      <c r="F174" s="485"/>
      <c r="G174" s="476"/>
    </row>
    <row r="175" spans="1:7" s="4" customFormat="1" ht="54.6" customHeight="1">
      <c r="A175" s="481" t="s">
        <v>1353</v>
      </c>
      <c r="B175" s="958" t="s">
        <v>1713</v>
      </c>
      <c r="C175" s="958"/>
      <c r="D175" s="958"/>
      <c r="E175" s="958"/>
      <c r="F175" s="958"/>
      <c r="G175" s="476"/>
    </row>
    <row r="176" spans="1:7" s="4" customFormat="1" ht="13.15" customHeight="1">
      <c r="A176" s="477"/>
      <c r="B176" s="482"/>
      <c r="C176" s="482"/>
      <c r="D176" s="482"/>
      <c r="E176" s="482"/>
      <c r="F176" s="482"/>
      <c r="G176" s="476"/>
    </row>
    <row r="177" spans="1:7" s="4" customFormat="1" ht="71.45" customHeight="1">
      <c r="A177" s="481" t="s">
        <v>1355</v>
      </c>
      <c r="B177" s="958" t="s">
        <v>1714</v>
      </c>
      <c r="C177" s="958"/>
      <c r="D177" s="958"/>
      <c r="E177" s="958"/>
      <c r="F177" s="958"/>
      <c r="G177" s="476"/>
    </row>
    <row r="178" spans="1:7" s="4" customFormat="1" ht="13.15" customHeight="1">
      <c r="A178" s="477"/>
      <c r="B178" s="482"/>
      <c r="C178" s="482"/>
      <c r="D178" s="482"/>
      <c r="E178" s="482"/>
      <c r="F178" s="482"/>
      <c r="G178" s="476"/>
    </row>
    <row r="179" spans="1:7" s="4" customFormat="1" ht="45" customHeight="1">
      <c r="A179" s="481" t="s">
        <v>1357</v>
      </c>
      <c r="B179" s="958" t="s">
        <v>1715</v>
      </c>
      <c r="C179" s="958"/>
      <c r="D179" s="958"/>
      <c r="E179" s="958"/>
      <c r="F179" s="958"/>
      <c r="G179" s="476"/>
    </row>
    <row r="180" spans="1:7" s="4" customFormat="1" ht="13.15" customHeight="1">
      <c r="A180" s="477"/>
      <c r="B180" s="482"/>
      <c r="C180" s="482"/>
      <c r="D180" s="482"/>
      <c r="E180" s="482"/>
      <c r="F180" s="482"/>
      <c r="G180" s="476"/>
    </row>
    <row r="181" spans="1:7" s="4" customFormat="1" ht="60" customHeight="1">
      <c r="A181" s="481" t="s">
        <v>1359</v>
      </c>
      <c r="B181" s="958" t="s">
        <v>1716</v>
      </c>
      <c r="C181" s="958"/>
      <c r="D181" s="958"/>
      <c r="E181" s="958"/>
      <c r="F181" s="958"/>
      <c r="G181" s="476"/>
    </row>
    <row r="182" spans="1:7" s="4" customFormat="1" ht="13.15" customHeight="1">
      <c r="A182" s="477"/>
      <c r="B182" s="482"/>
      <c r="C182" s="482"/>
      <c r="D182" s="482"/>
      <c r="E182" s="482"/>
      <c r="F182" s="482"/>
      <c r="G182" s="476"/>
    </row>
    <row r="183" spans="1:7" s="4" customFormat="1" ht="62.25" customHeight="1">
      <c r="A183" s="481" t="s">
        <v>1361</v>
      </c>
      <c r="B183" s="958" t="s">
        <v>1717</v>
      </c>
      <c r="C183" s="958"/>
      <c r="D183" s="958"/>
      <c r="E183" s="958"/>
      <c r="F183" s="958"/>
      <c r="G183" s="476"/>
    </row>
    <row r="184" spans="1:7" s="4" customFormat="1" ht="13.15" customHeight="1">
      <c r="A184" s="477"/>
      <c r="B184" s="482"/>
      <c r="C184" s="482"/>
      <c r="D184" s="482"/>
      <c r="E184" s="482"/>
      <c r="F184" s="482"/>
      <c r="G184" s="476"/>
    </row>
    <row r="185" spans="1:7" s="4" customFormat="1" ht="60" customHeight="1">
      <c r="A185" s="481" t="s">
        <v>1718</v>
      </c>
      <c r="B185" s="958" t="s">
        <v>1719</v>
      </c>
      <c r="C185" s="958"/>
      <c r="D185" s="958"/>
      <c r="E185" s="958"/>
      <c r="F185" s="958"/>
      <c r="G185" s="476"/>
    </row>
    <row r="186" spans="1:7" s="4" customFormat="1" ht="13.15" customHeight="1">
      <c r="A186" s="477"/>
      <c r="B186" s="482"/>
      <c r="C186" s="482"/>
      <c r="D186" s="482"/>
      <c r="E186" s="482"/>
      <c r="F186" s="482"/>
      <c r="G186" s="476"/>
    </row>
    <row r="187" spans="1:7" s="4" customFormat="1" ht="13.15" customHeight="1">
      <c r="A187" s="472"/>
      <c r="B187" s="974" t="s">
        <v>1720</v>
      </c>
      <c r="C187" s="974"/>
      <c r="D187" s="487"/>
      <c r="E187" s="487"/>
      <c r="F187" s="487"/>
      <c r="G187" s="476"/>
    </row>
    <row r="188" spans="1:7" s="4" customFormat="1" ht="13.15" customHeight="1">
      <c r="A188" s="477"/>
      <c r="B188" s="482"/>
      <c r="C188" s="482"/>
      <c r="D188" s="482"/>
      <c r="E188" s="482"/>
      <c r="F188" s="482"/>
      <c r="G188" s="476"/>
    </row>
    <row r="189" spans="1:7" s="4" customFormat="1" ht="30" customHeight="1">
      <c r="A189" s="481" t="s">
        <v>1721</v>
      </c>
      <c r="B189" s="958" t="s">
        <v>1722</v>
      </c>
      <c r="C189" s="958"/>
      <c r="D189" s="958"/>
      <c r="E189" s="958"/>
      <c r="F189" s="958"/>
      <c r="G189" s="476"/>
    </row>
    <row r="190" spans="1:7" s="4" customFormat="1" ht="13.15" customHeight="1">
      <c r="A190" s="477"/>
      <c r="B190" s="482"/>
      <c r="C190" s="482"/>
      <c r="D190" s="482"/>
      <c r="E190" s="482"/>
      <c r="F190" s="482"/>
      <c r="G190" s="476"/>
    </row>
    <row r="191" spans="1:7" s="4" customFormat="1" ht="56.25" customHeight="1">
      <c r="A191" s="481" t="s">
        <v>1723</v>
      </c>
      <c r="B191" s="958" t="s">
        <v>1724</v>
      </c>
      <c r="C191" s="958"/>
      <c r="D191" s="958"/>
      <c r="E191" s="958"/>
      <c r="F191" s="958"/>
      <c r="G191" s="476"/>
    </row>
    <row r="192" spans="1:7" s="4" customFormat="1" ht="13.15" customHeight="1">
      <c r="A192" s="477"/>
      <c r="B192" s="482"/>
      <c r="C192" s="482"/>
      <c r="D192" s="482"/>
      <c r="E192" s="482"/>
      <c r="F192" s="482"/>
      <c r="G192" s="476"/>
    </row>
    <row r="193" spans="1:7" s="4" customFormat="1" ht="43.9" customHeight="1">
      <c r="A193" s="481" t="s">
        <v>1725</v>
      </c>
      <c r="B193" s="958" t="s">
        <v>1726</v>
      </c>
      <c r="C193" s="958"/>
      <c r="D193" s="958"/>
      <c r="E193" s="958"/>
      <c r="F193" s="958"/>
      <c r="G193" s="476"/>
    </row>
    <row r="194" spans="1:7" s="4" customFormat="1" ht="13.15" customHeight="1">
      <c r="A194" s="477"/>
      <c r="B194" s="485"/>
      <c r="C194" s="485"/>
      <c r="D194" s="485"/>
      <c r="E194" s="485"/>
      <c r="F194" s="485"/>
      <c r="G194" s="476"/>
    </row>
    <row r="195" spans="1:7" s="6" customFormat="1" ht="19.899999999999999" customHeight="1">
      <c r="A195" s="977" t="s">
        <v>1</v>
      </c>
      <c r="B195" s="978"/>
      <c r="C195" s="978"/>
      <c r="D195" s="978"/>
      <c r="E195" s="978"/>
      <c r="F195" s="979"/>
    </row>
    <row r="196" spans="1:7" s="7" customFormat="1" ht="19.899999999999999" customHeight="1">
      <c r="A196" s="488"/>
      <c r="B196" s="489" t="s">
        <v>1727</v>
      </c>
      <c r="C196" s="490"/>
      <c r="D196" s="490"/>
      <c r="E196" s="490"/>
      <c r="F196" s="491"/>
    </row>
    <row r="197" spans="1:7" s="8" customFormat="1" ht="30" customHeight="1">
      <c r="A197" s="492" t="s">
        <v>1728</v>
      </c>
      <c r="B197" s="493" t="s">
        <v>1559</v>
      </c>
      <c r="C197" s="492" t="s">
        <v>1729</v>
      </c>
      <c r="D197" s="492" t="s">
        <v>1410</v>
      </c>
      <c r="E197" s="492" t="s">
        <v>1560</v>
      </c>
      <c r="F197" s="492" t="s">
        <v>1730</v>
      </c>
    </row>
    <row r="198" spans="1:7" s="8" customFormat="1" ht="13.9" customHeight="1">
      <c r="A198" s="494"/>
      <c r="B198" s="495"/>
      <c r="C198" s="496"/>
      <c r="D198" s="496"/>
      <c r="E198" s="496"/>
      <c r="F198" s="497"/>
    </row>
    <row r="199" spans="1:7" s="8" customFormat="1" ht="15" customHeight="1">
      <c r="A199" s="498" t="s">
        <v>1177</v>
      </c>
      <c r="B199" s="499" t="s">
        <v>45</v>
      </c>
      <c r="C199" s="499"/>
      <c r="D199" s="499"/>
      <c r="E199" s="499"/>
      <c r="F199" s="500"/>
    </row>
    <row r="200" spans="1:7" s="8" customFormat="1" ht="13.9" customHeight="1" outlineLevel="1">
      <c r="A200" s="501"/>
      <c r="B200" s="502"/>
      <c r="C200" s="502"/>
      <c r="D200" s="502"/>
      <c r="E200" s="502"/>
      <c r="F200" s="502"/>
    </row>
    <row r="201" spans="1:7" s="8" customFormat="1" ht="183" outlineLevel="1">
      <c r="A201" s="503" t="s">
        <v>1731</v>
      </c>
      <c r="B201" s="504" t="s">
        <v>1732</v>
      </c>
      <c r="C201" s="505"/>
      <c r="D201" s="506"/>
      <c r="E201" s="506"/>
      <c r="F201" s="507"/>
    </row>
    <row r="202" spans="1:7" s="8" customFormat="1" ht="13.9" customHeight="1" outlineLevel="1">
      <c r="A202" s="508"/>
      <c r="B202" s="509" t="s">
        <v>1733</v>
      </c>
      <c r="C202" s="510" t="s">
        <v>2</v>
      </c>
      <c r="D202" s="511">
        <v>3100</v>
      </c>
      <c r="E202" s="593"/>
      <c r="F202" s="512">
        <f t="shared" ref="F202" si="0">D202*E202</f>
        <v>0</v>
      </c>
    </row>
    <row r="203" spans="1:7" s="8" customFormat="1" ht="13.9" customHeight="1" outlineLevel="1">
      <c r="A203" s="513"/>
      <c r="B203" s="514"/>
      <c r="C203" s="515"/>
      <c r="D203" s="516"/>
      <c r="E203" s="516"/>
      <c r="F203" s="517"/>
    </row>
    <row r="204" spans="1:7" s="8" customFormat="1" ht="265.5" customHeight="1" outlineLevel="1">
      <c r="A204" s="503" t="s">
        <v>1734</v>
      </c>
      <c r="B204" s="518" t="s">
        <v>1735</v>
      </c>
      <c r="C204" s="505"/>
      <c r="D204" s="506"/>
      <c r="E204" s="506"/>
      <c r="F204" s="507"/>
    </row>
    <row r="205" spans="1:7" s="8" customFormat="1" ht="13.9" customHeight="1" outlineLevel="1">
      <c r="A205" s="519"/>
      <c r="B205" s="509" t="s">
        <v>1736</v>
      </c>
      <c r="C205" s="510" t="s">
        <v>24</v>
      </c>
      <c r="D205" s="520">
        <v>4</v>
      </c>
      <c r="E205" s="593"/>
      <c r="F205" s="512">
        <f t="shared" ref="F205" si="1">D205*E205</f>
        <v>0</v>
      </c>
    </row>
    <row r="206" spans="1:7" s="8" customFormat="1" ht="13.9" customHeight="1" outlineLevel="1">
      <c r="A206" s="521"/>
      <c r="B206" s="522"/>
      <c r="C206" s="523"/>
      <c r="D206" s="524"/>
      <c r="E206" s="525"/>
      <c r="F206" s="507"/>
    </row>
    <row r="207" spans="1:7" s="8" customFormat="1" ht="163.5" customHeight="1" outlineLevel="1">
      <c r="A207" s="503" t="s">
        <v>1737</v>
      </c>
      <c r="B207" s="518" t="s">
        <v>1738</v>
      </c>
      <c r="C207" s="505"/>
      <c r="D207" s="506"/>
      <c r="E207" s="506"/>
      <c r="F207" s="507"/>
    </row>
    <row r="208" spans="1:7" s="8" customFormat="1" ht="13.9" customHeight="1" outlineLevel="1">
      <c r="A208" s="526" t="s">
        <v>1739</v>
      </c>
      <c r="B208" s="527" t="s">
        <v>1740</v>
      </c>
      <c r="C208" s="505" t="s">
        <v>1741</v>
      </c>
      <c r="D208" s="524">
        <v>20</v>
      </c>
      <c r="E208" s="594"/>
      <c r="F208" s="528">
        <f t="shared" ref="F208:F210" si="2">D208*E208</f>
        <v>0</v>
      </c>
    </row>
    <row r="209" spans="1:6" s="8" customFormat="1" ht="13.9" customHeight="1" outlineLevel="1">
      <c r="A209" s="526" t="s">
        <v>1742</v>
      </c>
      <c r="B209" s="527" t="s">
        <v>1743</v>
      </c>
      <c r="C209" s="505" t="s">
        <v>1741</v>
      </c>
      <c r="D209" s="524">
        <v>90</v>
      </c>
      <c r="E209" s="594"/>
      <c r="F209" s="528">
        <f t="shared" si="2"/>
        <v>0</v>
      </c>
    </row>
    <row r="210" spans="1:6" s="8" customFormat="1" ht="13.9" customHeight="1" outlineLevel="1">
      <c r="A210" s="519" t="s">
        <v>1744</v>
      </c>
      <c r="B210" s="509" t="s">
        <v>1745</v>
      </c>
      <c r="C210" s="510" t="s">
        <v>1741</v>
      </c>
      <c r="D210" s="520">
        <v>41</v>
      </c>
      <c r="E210" s="593"/>
      <c r="F210" s="512">
        <f t="shared" si="2"/>
        <v>0</v>
      </c>
    </row>
    <row r="211" spans="1:6" s="8" customFormat="1" ht="13.9" customHeight="1" outlineLevel="1">
      <c r="A211" s="521"/>
      <c r="B211" s="522"/>
      <c r="C211" s="523"/>
      <c r="D211" s="524"/>
      <c r="E211" s="525"/>
      <c r="F211" s="507"/>
    </row>
    <row r="212" spans="1:6" s="8" customFormat="1" ht="257.25" customHeight="1" outlineLevel="1">
      <c r="A212" s="503" t="s">
        <v>1746</v>
      </c>
      <c r="B212" s="518" t="s">
        <v>1747</v>
      </c>
      <c r="C212" s="505"/>
      <c r="D212" s="506"/>
      <c r="E212" s="506"/>
      <c r="F212" s="507"/>
    </row>
    <row r="213" spans="1:6" s="8" customFormat="1" ht="13.9" customHeight="1" outlineLevel="1">
      <c r="A213" s="526" t="s">
        <v>1748</v>
      </c>
      <c r="B213" s="527" t="s">
        <v>1749</v>
      </c>
      <c r="C213" s="505" t="s">
        <v>2</v>
      </c>
      <c r="D213" s="524">
        <v>600</v>
      </c>
      <c r="E213" s="594"/>
      <c r="F213" s="528">
        <f t="shared" ref="F213:F214" si="3">D213*E213</f>
        <v>0</v>
      </c>
    </row>
    <row r="214" spans="1:6" s="8" customFormat="1" ht="13.9" customHeight="1" outlineLevel="1">
      <c r="A214" s="519" t="s">
        <v>1750</v>
      </c>
      <c r="B214" s="509" t="s">
        <v>1751</v>
      </c>
      <c r="C214" s="510" t="s">
        <v>2</v>
      </c>
      <c r="D214" s="520">
        <v>3200</v>
      </c>
      <c r="E214" s="593"/>
      <c r="F214" s="512">
        <f t="shared" si="3"/>
        <v>0</v>
      </c>
    </row>
    <row r="215" spans="1:6" s="8" customFormat="1" ht="13.9" customHeight="1" outlineLevel="1">
      <c r="A215" s="521"/>
      <c r="B215" s="522"/>
      <c r="C215" s="523"/>
      <c r="D215" s="524"/>
      <c r="E215" s="525"/>
      <c r="F215" s="507"/>
    </row>
    <row r="216" spans="1:6" s="8" customFormat="1" ht="15" customHeight="1">
      <c r="A216" s="529" t="str">
        <f>A199</f>
        <v>1.</v>
      </c>
      <c r="B216" s="530" t="str">
        <f>B199</f>
        <v>PRIPREMNI RADOVI</v>
      </c>
      <c r="C216" s="531"/>
      <c r="D216" s="531"/>
      <c r="E216" s="531"/>
      <c r="F216" s="532">
        <f>SUM(F201:F214)</f>
        <v>0</v>
      </c>
    </row>
    <row r="217" spans="1:6" s="8" customFormat="1" ht="13.9" customHeight="1">
      <c r="A217" s="533"/>
      <c r="B217" s="533"/>
      <c r="C217" s="533"/>
      <c r="D217" s="533"/>
      <c r="E217" s="534"/>
      <c r="F217" s="534"/>
    </row>
    <row r="218" spans="1:6" s="8" customFormat="1" ht="15" customHeight="1">
      <c r="A218" s="498" t="s">
        <v>1190</v>
      </c>
      <c r="B218" s="499" t="s">
        <v>8</v>
      </c>
      <c r="C218" s="499"/>
      <c r="D218" s="499"/>
      <c r="E218" s="499"/>
      <c r="F218" s="500"/>
    </row>
    <row r="219" spans="1:6" s="8" customFormat="1" ht="12" customHeight="1" outlineLevel="1">
      <c r="A219" s="501"/>
      <c r="B219" s="502"/>
      <c r="C219" s="502"/>
      <c r="D219" s="502"/>
      <c r="E219" s="502"/>
      <c r="F219" s="502"/>
    </row>
    <row r="220" spans="1:6" s="8" customFormat="1" ht="222.4" outlineLevel="1">
      <c r="A220" s="503" t="s">
        <v>1752</v>
      </c>
      <c r="B220" s="518" t="s">
        <v>1753</v>
      </c>
      <c r="C220" s="535"/>
      <c r="D220" s="536"/>
      <c r="E220" s="537"/>
      <c r="F220" s="538"/>
    </row>
    <row r="221" spans="1:6" s="8" customFormat="1" ht="13.9" customHeight="1" outlineLevel="1">
      <c r="A221" s="526" t="s">
        <v>1754</v>
      </c>
      <c r="B221" s="527" t="s">
        <v>1755</v>
      </c>
      <c r="C221" s="505" t="s">
        <v>10</v>
      </c>
      <c r="D221" s="524">
        <v>930</v>
      </c>
      <c r="E221" s="594"/>
      <c r="F221" s="528">
        <f t="shared" ref="F221:F222" si="4">D221*E221</f>
        <v>0</v>
      </c>
    </row>
    <row r="222" spans="1:6" s="8" customFormat="1" ht="15" customHeight="1" outlineLevel="1">
      <c r="A222" s="519" t="s">
        <v>1756</v>
      </c>
      <c r="B222" s="509" t="s">
        <v>1757</v>
      </c>
      <c r="C222" s="510" t="s">
        <v>10</v>
      </c>
      <c r="D222" s="511">
        <v>70</v>
      </c>
      <c r="E222" s="593"/>
      <c r="F222" s="512">
        <f t="shared" si="4"/>
        <v>0</v>
      </c>
    </row>
    <row r="223" spans="1:6" s="8" customFormat="1" ht="13.15" outlineLevel="1">
      <c r="A223" s="503"/>
      <c r="B223" s="539"/>
      <c r="C223" s="535"/>
      <c r="D223" s="536"/>
      <c r="E223" s="537"/>
      <c r="F223" s="538"/>
    </row>
    <row r="224" spans="1:6" s="8" customFormat="1" ht="170.25" outlineLevel="1">
      <c r="A224" s="503" t="s">
        <v>1758</v>
      </c>
      <c r="B224" s="540" t="s">
        <v>1759</v>
      </c>
      <c r="C224" s="535"/>
      <c r="D224" s="536"/>
      <c r="E224" s="537"/>
      <c r="F224" s="538"/>
    </row>
    <row r="225" spans="1:6" s="8" customFormat="1" ht="15" customHeight="1" outlineLevel="1">
      <c r="A225" s="508"/>
      <c r="B225" s="509" t="s">
        <v>1760</v>
      </c>
      <c r="C225" s="510" t="s">
        <v>10</v>
      </c>
      <c r="D225" s="511">
        <v>72</v>
      </c>
      <c r="E225" s="593"/>
      <c r="F225" s="512">
        <f t="shared" ref="F225" si="5">D225*E225</f>
        <v>0</v>
      </c>
    </row>
    <row r="226" spans="1:6" s="8" customFormat="1" ht="13.15" outlineLevel="1">
      <c r="A226" s="503"/>
      <c r="B226" s="539"/>
      <c r="C226" s="535"/>
      <c r="D226" s="536"/>
      <c r="E226" s="537"/>
      <c r="F226" s="538"/>
    </row>
    <row r="227" spans="1:6" s="8" customFormat="1" ht="144" outlineLevel="1">
      <c r="A227" s="503" t="s">
        <v>1761</v>
      </c>
      <c r="B227" s="540" t="s">
        <v>1762</v>
      </c>
      <c r="C227" s="535"/>
      <c r="D227" s="536"/>
      <c r="E227" s="537"/>
      <c r="F227" s="538"/>
    </row>
    <row r="228" spans="1:6" s="8" customFormat="1" ht="15" customHeight="1" outlineLevel="1">
      <c r="A228" s="508"/>
      <c r="B228" s="509" t="s">
        <v>1760</v>
      </c>
      <c r="C228" s="510" t="s">
        <v>10</v>
      </c>
      <c r="D228" s="511">
        <v>70</v>
      </c>
      <c r="E228" s="593"/>
      <c r="F228" s="512">
        <f t="shared" ref="F228" si="6">D228*E228</f>
        <v>0</v>
      </c>
    </row>
    <row r="229" spans="1:6" s="8" customFormat="1" ht="13.15" outlineLevel="1">
      <c r="A229" s="503"/>
      <c r="B229" s="539"/>
      <c r="C229" s="535"/>
      <c r="D229" s="536"/>
      <c r="E229" s="537"/>
      <c r="F229" s="538"/>
    </row>
    <row r="230" spans="1:6" s="8" customFormat="1" ht="88.5" customHeight="1" outlineLevel="1">
      <c r="A230" s="541" t="s">
        <v>1763</v>
      </c>
      <c r="B230" s="540" t="s">
        <v>1764</v>
      </c>
      <c r="C230" s="535"/>
      <c r="D230" s="536"/>
      <c r="E230" s="537"/>
      <c r="F230" s="538"/>
    </row>
    <row r="231" spans="1:6" s="8" customFormat="1" ht="15" customHeight="1" outlineLevel="1">
      <c r="A231" s="508"/>
      <c r="B231" s="542"/>
      <c r="C231" s="510" t="s">
        <v>2</v>
      </c>
      <c r="D231" s="511">
        <v>180</v>
      </c>
      <c r="E231" s="593"/>
      <c r="F231" s="512">
        <f t="shared" ref="F231" si="7">D231*E231</f>
        <v>0</v>
      </c>
    </row>
    <row r="232" spans="1:6" s="8" customFormat="1" ht="13.15" outlineLevel="1">
      <c r="A232" s="503"/>
      <c r="B232" s="539"/>
      <c r="C232" s="535"/>
      <c r="D232" s="536"/>
      <c r="E232" s="537"/>
      <c r="F232" s="538"/>
    </row>
    <row r="233" spans="1:6" s="8" customFormat="1" ht="197.25" customHeight="1" outlineLevel="1">
      <c r="A233" s="503" t="s">
        <v>1765</v>
      </c>
      <c r="B233" s="543" t="s">
        <v>1766</v>
      </c>
      <c r="C233" s="535"/>
      <c r="D233" s="536"/>
      <c r="E233" s="537"/>
      <c r="F233" s="537"/>
    </row>
    <row r="234" spans="1:6" s="8" customFormat="1" ht="15" customHeight="1" outlineLevel="1">
      <c r="A234" s="508"/>
      <c r="B234" s="542"/>
      <c r="C234" s="510" t="s">
        <v>2</v>
      </c>
      <c r="D234" s="511">
        <v>3100</v>
      </c>
      <c r="E234" s="593"/>
      <c r="F234" s="512">
        <f t="shared" ref="F234" si="8">D234*E234</f>
        <v>0</v>
      </c>
    </row>
    <row r="235" spans="1:6" s="8" customFormat="1" ht="13.15" outlineLevel="1">
      <c r="A235" s="544"/>
      <c r="B235" s="545"/>
      <c r="C235" s="546"/>
      <c r="D235" s="516"/>
      <c r="E235" s="516"/>
      <c r="F235" s="547"/>
    </row>
    <row r="236" spans="1:6" s="8" customFormat="1" ht="15" customHeight="1">
      <c r="A236" s="529" t="str">
        <f>A218</f>
        <v>2.</v>
      </c>
      <c r="B236" s="548" t="str">
        <f>B218</f>
        <v>ZEMLJANI RADOVI</v>
      </c>
      <c r="C236" s="531"/>
      <c r="D236" s="531"/>
      <c r="E236" s="531"/>
      <c r="F236" s="532">
        <f>SUM(F220:F234)</f>
        <v>0</v>
      </c>
    </row>
    <row r="237" spans="1:6" s="8" customFormat="1" ht="13.15">
      <c r="A237" s="544"/>
      <c r="B237" s="545"/>
      <c r="C237" s="546"/>
      <c r="D237" s="516"/>
      <c r="E237" s="516"/>
      <c r="F237" s="547"/>
    </row>
    <row r="238" spans="1:6" s="8" customFormat="1" ht="15" customHeight="1">
      <c r="A238" s="498" t="s">
        <v>1257</v>
      </c>
      <c r="B238" s="499" t="s">
        <v>1767</v>
      </c>
      <c r="C238" s="499"/>
      <c r="D238" s="499"/>
      <c r="E238" s="499"/>
      <c r="F238" s="500"/>
    </row>
    <row r="239" spans="1:6" s="8" customFormat="1" ht="12" customHeight="1" outlineLevel="1">
      <c r="A239" s="501"/>
      <c r="B239" s="502"/>
      <c r="C239" s="502"/>
      <c r="D239" s="502"/>
      <c r="E239" s="502"/>
      <c r="F239" s="502"/>
    </row>
    <row r="240" spans="1:6" s="8" customFormat="1" ht="117.75" outlineLevel="1">
      <c r="A240" s="503" t="s">
        <v>1768</v>
      </c>
      <c r="B240" s="540" t="s">
        <v>1769</v>
      </c>
      <c r="C240" s="505"/>
      <c r="D240" s="506"/>
      <c r="E240" s="506"/>
      <c r="F240" s="507"/>
    </row>
    <row r="241" spans="1:6" s="8" customFormat="1" ht="13.9" customHeight="1" outlineLevel="1">
      <c r="A241" s="549"/>
      <c r="B241" s="509" t="s">
        <v>1770</v>
      </c>
      <c r="C241" s="510" t="s">
        <v>1741</v>
      </c>
      <c r="D241" s="520">
        <v>180</v>
      </c>
      <c r="E241" s="593"/>
      <c r="F241" s="512">
        <f t="shared" ref="F241" si="9">D241*E241</f>
        <v>0</v>
      </c>
    </row>
    <row r="242" spans="1:6" s="8" customFormat="1" ht="13.15" outlineLevel="1">
      <c r="A242" s="544"/>
      <c r="B242" s="545"/>
      <c r="C242" s="546"/>
      <c r="D242" s="516"/>
      <c r="E242" s="516"/>
      <c r="F242" s="547"/>
    </row>
    <row r="243" spans="1:6" s="8" customFormat="1" ht="15" customHeight="1">
      <c r="A243" s="529" t="str">
        <f>A238</f>
        <v>3.</v>
      </c>
      <c r="B243" s="548" t="str">
        <f>B238</f>
        <v>ODVODNJA TAMPONSKOG SLOJA</v>
      </c>
      <c r="C243" s="531"/>
      <c r="D243" s="531"/>
      <c r="E243" s="531"/>
      <c r="F243" s="532">
        <f>SUM(F240:F241)</f>
        <v>0</v>
      </c>
    </row>
    <row r="244" spans="1:6" s="8" customFormat="1" ht="13.15">
      <c r="A244" s="544"/>
      <c r="B244" s="545"/>
      <c r="C244" s="546"/>
      <c r="D244" s="516"/>
      <c r="E244" s="516"/>
      <c r="F244" s="547"/>
    </row>
    <row r="245" spans="1:6" s="8" customFormat="1" ht="15" customHeight="1">
      <c r="A245" s="498" t="s">
        <v>1259</v>
      </c>
      <c r="B245" s="499" t="s">
        <v>1771</v>
      </c>
      <c r="C245" s="499"/>
      <c r="D245" s="499"/>
      <c r="E245" s="499"/>
      <c r="F245" s="500"/>
    </row>
    <row r="246" spans="1:6" s="8" customFormat="1" ht="13.15" outlineLevel="1">
      <c r="A246" s="544"/>
      <c r="B246" s="545"/>
      <c r="C246" s="546"/>
      <c r="D246" s="516"/>
      <c r="E246" s="516"/>
      <c r="F246" s="547"/>
    </row>
    <row r="247" spans="1:6" s="8" customFormat="1" ht="249" customHeight="1" outlineLevel="1">
      <c r="A247" s="503" t="s">
        <v>1772</v>
      </c>
      <c r="B247" s="540" t="s">
        <v>1773</v>
      </c>
      <c r="C247" s="505"/>
      <c r="D247" s="506"/>
      <c r="E247" s="506"/>
      <c r="F247" s="507"/>
    </row>
    <row r="248" spans="1:6" s="8" customFormat="1" ht="13.9" customHeight="1" outlineLevel="1">
      <c r="A248" s="526" t="s">
        <v>1774</v>
      </c>
      <c r="B248" s="527" t="s">
        <v>1775</v>
      </c>
      <c r="C248" s="505" t="s">
        <v>10</v>
      </c>
      <c r="D248" s="524">
        <v>120</v>
      </c>
      <c r="E248" s="594"/>
      <c r="F248" s="528">
        <f t="shared" ref="F248:F249" si="10">D248*E248</f>
        <v>0</v>
      </c>
    </row>
    <row r="249" spans="1:6" s="8" customFormat="1" ht="13.9" customHeight="1" outlineLevel="1">
      <c r="A249" s="519" t="s">
        <v>1776</v>
      </c>
      <c r="B249" s="509" t="s">
        <v>1777</v>
      </c>
      <c r="C249" s="510" t="s">
        <v>10</v>
      </c>
      <c r="D249" s="520">
        <v>940</v>
      </c>
      <c r="E249" s="593"/>
      <c r="F249" s="512">
        <f t="shared" si="10"/>
        <v>0</v>
      </c>
    </row>
    <row r="250" spans="1:6" s="8" customFormat="1" ht="13.15" outlineLevel="1">
      <c r="A250" s="544"/>
      <c r="B250" s="545"/>
      <c r="C250" s="546"/>
      <c r="D250" s="516"/>
      <c r="E250" s="516"/>
      <c r="F250" s="547"/>
    </row>
    <row r="251" spans="1:6" s="8" customFormat="1" ht="215.25" customHeight="1" outlineLevel="1">
      <c r="A251" s="503" t="s">
        <v>1778</v>
      </c>
      <c r="B251" s="540" t="s">
        <v>1779</v>
      </c>
      <c r="C251" s="505"/>
      <c r="D251" s="506"/>
      <c r="E251" s="506"/>
      <c r="F251" s="507"/>
    </row>
    <row r="252" spans="1:6" s="8" customFormat="1" ht="13.9" customHeight="1" outlineLevel="1">
      <c r="A252" s="549"/>
      <c r="B252" s="509" t="s">
        <v>1780</v>
      </c>
      <c r="C252" s="510" t="s">
        <v>2</v>
      </c>
      <c r="D252" s="520">
        <v>2650</v>
      </c>
      <c r="E252" s="593"/>
      <c r="F252" s="512">
        <f t="shared" ref="F252" si="11">D252*E252</f>
        <v>0</v>
      </c>
    </row>
    <row r="253" spans="1:6" s="8" customFormat="1" ht="13.15" outlineLevel="1">
      <c r="A253" s="544"/>
      <c r="B253" s="545"/>
      <c r="C253" s="546"/>
      <c r="D253" s="516"/>
      <c r="E253" s="516"/>
      <c r="F253" s="547"/>
    </row>
    <row r="254" spans="1:6" s="8" customFormat="1" ht="222.75" outlineLevel="1">
      <c r="A254" s="503" t="s">
        <v>1781</v>
      </c>
      <c r="B254" s="540" t="s">
        <v>1782</v>
      </c>
      <c r="C254" s="505"/>
      <c r="D254" s="506"/>
      <c r="E254" s="506"/>
      <c r="F254" s="507"/>
    </row>
    <row r="255" spans="1:6" s="8" customFormat="1" ht="13.9" customHeight="1" outlineLevel="1">
      <c r="A255" s="549"/>
      <c r="B255" s="509" t="s">
        <v>1783</v>
      </c>
      <c r="C255" s="510" t="s">
        <v>2</v>
      </c>
      <c r="D255" s="520">
        <v>2650</v>
      </c>
      <c r="E255" s="593"/>
      <c r="F255" s="512">
        <f t="shared" ref="F255" si="12">D255*E255</f>
        <v>0</v>
      </c>
    </row>
    <row r="256" spans="1:6" s="8" customFormat="1" ht="13.15" outlineLevel="1">
      <c r="A256" s="544"/>
      <c r="B256" s="545"/>
      <c r="C256" s="546"/>
      <c r="D256" s="516"/>
      <c r="E256" s="516"/>
      <c r="F256" s="547"/>
    </row>
    <row r="257" spans="1:6" s="8" customFormat="1" ht="222.75" outlineLevel="1">
      <c r="A257" s="503" t="s">
        <v>1784</v>
      </c>
      <c r="B257" s="540" t="s">
        <v>1785</v>
      </c>
      <c r="C257" s="505"/>
      <c r="D257" s="506"/>
      <c r="E257" s="506"/>
      <c r="F257" s="507"/>
    </row>
    <row r="258" spans="1:6" s="8" customFormat="1" ht="13.9" customHeight="1" outlineLevel="1">
      <c r="A258" s="549"/>
      <c r="B258" s="509" t="s">
        <v>1786</v>
      </c>
      <c r="C258" s="510" t="s">
        <v>2</v>
      </c>
      <c r="D258" s="520">
        <v>450</v>
      </c>
      <c r="E258" s="593"/>
      <c r="F258" s="512">
        <f t="shared" ref="F258" si="13">D258*E258</f>
        <v>0</v>
      </c>
    </row>
    <row r="259" spans="1:6" s="8" customFormat="1" ht="13.15" outlineLevel="1">
      <c r="A259" s="544"/>
      <c r="B259" s="545"/>
      <c r="C259" s="546"/>
      <c r="D259" s="516"/>
      <c r="E259" s="516"/>
      <c r="F259" s="547"/>
    </row>
    <row r="260" spans="1:6" s="8" customFormat="1" ht="286.5" customHeight="1" outlineLevel="1">
      <c r="A260" s="503" t="s">
        <v>1787</v>
      </c>
      <c r="B260" s="540" t="s">
        <v>1788</v>
      </c>
      <c r="C260" s="505"/>
      <c r="D260" s="506"/>
      <c r="E260" s="506"/>
      <c r="F260" s="507"/>
    </row>
    <row r="261" spans="1:6" s="8" customFormat="1" ht="13.9" customHeight="1" outlineLevel="1">
      <c r="A261" s="549"/>
      <c r="B261" s="509" t="s">
        <v>1789</v>
      </c>
      <c r="C261" s="510" t="s">
        <v>1741</v>
      </c>
      <c r="D261" s="520">
        <v>510</v>
      </c>
      <c r="E261" s="593"/>
      <c r="F261" s="512">
        <f t="shared" ref="F261" si="14">D261*E261</f>
        <v>0</v>
      </c>
    </row>
    <row r="262" spans="1:6" s="8" customFormat="1" ht="13.15" outlineLevel="1">
      <c r="A262" s="544"/>
      <c r="B262" s="545"/>
      <c r="C262" s="546"/>
      <c r="D262" s="516"/>
      <c r="E262" s="516"/>
      <c r="F262" s="547"/>
    </row>
    <row r="263" spans="1:6" s="8" customFormat="1" ht="286.5" customHeight="1" outlineLevel="1">
      <c r="A263" s="503" t="s">
        <v>1790</v>
      </c>
      <c r="B263" s="540" t="s">
        <v>1788</v>
      </c>
      <c r="C263" s="505"/>
      <c r="D263" s="506"/>
      <c r="E263" s="506"/>
      <c r="F263" s="507"/>
    </row>
    <row r="264" spans="1:6" s="8" customFormat="1" ht="13.9" customHeight="1" outlineLevel="1">
      <c r="A264" s="549"/>
      <c r="B264" s="509" t="s">
        <v>1791</v>
      </c>
      <c r="C264" s="510" t="s">
        <v>1741</v>
      </c>
      <c r="D264" s="520">
        <v>140</v>
      </c>
      <c r="E264" s="593"/>
      <c r="F264" s="512">
        <f t="shared" ref="F264" si="15">D264*E264</f>
        <v>0</v>
      </c>
    </row>
    <row r="265" spans="1:6" s="8" customFormat="1" ht="13.15" outlineLevel="1">
      <c r="A265" s="544"/>
      <c r="B265" s="545"/>
      <c r="C265" s="546"/>
      <c r="D265" s="516"/>
      <c r="E265" s="516"/>
      <c r="F265" s="547"/>
    </row>
    <row r="266" spans="1:6" s="8" customFormat="1" ht="15" customHeight="1">
      <c r="A266" s="529" t="str">
        <f>A245</f>
        <v>4.</v>
      </c>
      <c r="B266" s="548" t="str">
        <f>B245</f>
        <v>KOLNIČKA KONSTRUKCIJA I NOGOSTUP</v>
      </c>
      <c r="C266" s="531"/>
      <c r="D266" s="531"/>
      <c r="E266" s="531"/>
      <c r="F266" s="532">
        <f>SUM(F247:F264)</f>
        <v>0</v>
      </c>
    </row>
    <row r="267" spans="1:6" s="8" customFormat="1" ht="13.15">
      <c r="A267" s="544"/>
      <c r="B267" s="545"/>
      <c r="C267" s="546"/>
      <c r="D267" s="516"/>
      <c r="E267" s="516"/>
      <c r="F267" s="547"/>
    </row>
    <row r="268" spans="1:6" s="8" customFormat="1" ht="15" customHeight="1">
      <c r="A268" s="498" t="s">
        <v>1261</v>
      </c>
      <c r="B268" s="499" t="s">
        <v>1792</v>
      </c>
      <c r="C268" s="499"/>
      <c r="D268" s="499"/>
      <c r="E268" s="499"/>
      <c r="F268" s="500"/>
    </row>
    <row r="269" spans="1:6" s="8" customFormat="1" ht="13.15" outlineLevel="1">
      <c r="A269" s="550"/>
      <c r="B269" s="551"/>
      <c r="C269" s="552"/>
      <c r="D269" s="553"/>
      <c r="E269" s="553"/>
      <c r="F269" s="554"/>
    </row>
    <row r="270" spans="1:6" s="8" customFormat="1" ht="13.5" outlineLevel="1">
      <c r="A270" s="555"/>
      <c r="B270" s="975" t="s">
        <v>1793</v>
      </c>
      <c r="C270" s="975"/>
      <c r="D270" s="506"/>
      <c r="E270" s="506"/>
      <c r="F270" s="507"/>
    </row>
    <row r="271" spans="1:6" s="8" customFormat="1" ht="57" customHeight="1" outlineLevel="1">
      <c r="A271" s="555"/>
      <c r="B271" s="980" t="s">
        <v>1794</v>
      </c>
      <c r="C271" s="980"/>
      <c r="D271" s="980"/>
      <c r="E271" s="980"/>
      <c r="F271" s="980"/>
    </row>
    <row r="272" spans="1:6" s="8" customFormat="1" ht="12.75" customHeight="1" outlineLevel="1">
      <c r="A272" s="556"/>
      <c r="B272" s="976" t="s">
        <v>1795</v>
      </c>
      <c r="C272" s="976"/>
      <c r="D272" s="976"/>
      <c r="E272" s="976"/>
      <c r="F272" s="976"/>
    </row>
    <row r="273" spans="1:6" s="8" customFormat="1" ht="13.15" outlineLevel="1">
      <c r="A273" s="544"/>
      <c r="B273" s="545"/>
      <c r="C273" s="546"/>
      <c r="D273" s="516"/>
      <c r="E273" s="516"/>
      <c r="F273" s="547"/>
    </row>
    <row r="274" spans="1:6" s="8" customFormat="1" ht="144" customHeight="1" outlineLevel="1">
      <c r="A274" s="503" t="s">
        <v>1796</v>
      </c>
      <c r="B274" s="540" t="s">
        <v>1797</v>
      </c>
      <c r="C274" s="505"/>
      <c r="D274" s="506"/>
      <c r="E274" s="506"/>
      <c r="F274" s="507"/>
    </row>
    <row r="275" spans="1:6" s="8" customFormat="1" ht="13.9" customHeight="1" outlineLevel="1">
      <c r="A275" s="526" t="s">
        <v>1798</v>
      </c>
      <c r="B275" s="527" t="s">
        <v>1799</v>
      </c>
      <c r="C275" s="505" t="s">
        <v>24</v>
      </c>
      <c r="D275" s="524">
        <v>1</v>
      </c>
      <c r="E275" s="594"/>
      <c r="F275" s="528">
        <f t="shared" ref="F275:F278" si="16">D275*E275</f>
        <v>0</v>
      </c>
    </row>
    <row r="276" spans="1:6" s="8" customFormat="1" ht="13.9" customHeight="1" outlineLevel="1">
      <c r="A276" s="526" t="s">
        <v>1800</v>
      </c>
      <c r="B276" s="527" t="s">
        <v>1801</v>
      </c>
      <c r="C276" s="505" t="s">
        <v>24</v>
      </c>
      <c r="D276" s="524">
        <v>1</v>
      </c>
      <c r="E276" s="594"/>
      <c r="F276" s="528">
        <f t="shared" si="16"/>
        <v>0</v>
      </c>
    </row>
    <row r="277" spans="1:6" s="8" customFormat="1" ht="13.9" customHeight="1" outlineLevel="1">
      <c r="A277" s="526" t="s">
        <v>1802</v>
      </c>
      <c r="B277" s="527" t="s">
        <v>1803</v>
      </c>
      <c r="C277" s="505" t="s">
        <v>24</v>
      </c>
      <c r="D277" s="524">
        <v>1</v>
      </c>
      <c r="E277" s="594"/>
      <c r="F277" s="528">
        <f t="shared" si="16"/>
        <v>0</v>
      </c>
    </row>
    <row r="278" spans="1:6" s="8" customFormat="1" ht="13.9" customHeight="1" outlineLevel="1">
      <c r="A278" s="519" t="s">
        <v>1804</v>
      </c>
      <c r="B278" s="509" t="s">
        <v>1805</v>
      </c>
      <c r="C278" s="510" t="s">
        <v>24</v>
      </c>
      <c r="D278" s="520">
        <v>1</v>
      </c>
      <c r="E278" s="593"/>
      <c r="F278" s="512">
        <f t="shared" si="16"/>
        <v>0</v>
      </c>
    </row>
    <row r="279" spans="1:6" s="8" customFormat="1" ht="13.15" outlineLevel="1">
      <c r="A279" s="544"/>
      <c r="B279" s="545"/>
      <c r="C279" s="546"/>
      <c r="D279" s="516"/>
      <c r="E279" s="516"/>
      <c r="F279" s="547"/>
    </row>
    <row r="280" spans="1:6" s="8" customFormat="1" ht="73.5" customHeight="1" outlineLevel="1">
      <c r="A280" s="503" t="s">
        <v>1806</v>
      </c>
      <c r="B280" s="540" t="s">
        <v>1807</v>
      </c>
      <c r="C280" s="505"/>
      <c r="D280" s="506"/>
      <c r="E280" s="506"/>
      <c r="F280" s="507"/>
    </row>
    <row r="281" spans="1:6" s="8" customFormat="1" ht="13.9" customHeight="1" outlineLevel="1">
      <c r="A281" s="526" t="s">
        <v>1808</v>
      </c>
      <c r="B281" s="527" t="s">
        <v>1809</v>
      </c>
      <c r="C281" s="505" t="s">
        <v>24</v>
      </c>
      <c r="D281" s="524">
        <v>12</v>
      </c>
      <c r="E281" s="594"/>
      <c r="F281" s="528">
        <f t="shared" ref="F281:F290" si="17">D281*E281</f>
        <v>0</v>
      </c>
    </row>
    <row r="282" spans="1:6" s="8" customFormat="1" ht="13.9" customHeight="1" outlineLevel="1">
      <c r="A282" s="526" t="s">
        <v>1810</v>
      </c>
      <c r="B282" s="527" t="s">
        <v>1811</v>
      </c>
      <c r="C282" s="505" t="s">
        <v>24</v>
      </c>
      <c r="D282" s="524">
        <v>1</v>
      </c>
      <c r="E282" s="594"/>
      <c r="F282" s="528">
        <f t="shared" si="17"/>
        <v>0</v>
      </c>
    </row>
    <row r="283" spans="1:6" s="8" customFormat="1" ht="13.9" customHeight="1" outlineLevel="1">
      <c r="A283" s="526" t="s">
        <v>1812</v>
      </c>
      <c r="B283" s="527" t="s">
        <v>1813</v>
      </c>
      <c r="C283" s="505" t="s">
        <v>24</v>
      </c>
      <c r="D283" s="524">
        <v>1</v>
      </c>
      <c r="E283" s="594"/>
      <c r="F283" s="528">
        <f t="shared" si="17"/>
        <v>0</v>
      </c>
    </row>
    <row r="284" spans="1:6" s="8" customFormat="1" ht="13.9" customHeight="1" outlineLevel="1">
      <c r="A284" s="526" t="s">
        <v>1814</v>
      </c>
      <c r="B284" s="527" t="s">
        <v>1815</v>
      </c>
      <c r="C284" s="505" t="s">
        <v>24</v>
      </c>
      <c r="D284" s="524">
        <v>1</v>
      </c>
      <c r="E284" s="594"/>
      <c r="F284" s="528">
        <f t="shared" si="17"/>
        <v>0</v>
      </c>
    </row>
    <row r="285" spans="1:6" s="8" customFormat="1" ht="13.9" customHeight="1" outlineLevel="1">
      <c r="A285" s="526" t="s">
        <v>1816</v>
      </c>
      <c r="B285" s="527" t="s">
        <v>1817</v>
      </c>
      <c r="C285" s="505" t="s">
        <v>24</v>
      </c>
      <c r="D285" s="524">
        <v>3</v>
      </c>
      <c r="E285" s="594"/>
      <c r="F285" s="528">
        <f t="shared" si="17"/>
        <v>0</v>
      </c>
    </row>
    <row r="286" spans="1:6" s="8" customFormat="1" ht="13.9" customHeight="1" outlineLevel="1">
      <c r="A286" s="526" t="s">
        <v>1818</v>
      </c>
      <c r="B286" s="527" t="s">
        <v>1819</v>
      </c>
      <c r="C286" s="505" t="s">
        <v>24</v>
      </c>
      <c r="D286" s="524">
        <v>1</v>
      </c>
      <c r="E286" s="594"/>
      <c r="F286" s="528">
        <f t="shared" si="17"/>
        <v>0</v>
      </c>
    </row>
    <row r="287" spans="1:6" s="8" customFormat="1" ht="13.9" customHeight="1" outlineLevel="1">
      <c r="A287" s="526" t="s">
        <v>1820</v>
      </c>
      <c r="B287" s="527" t="s">
        <v>1821</v>
      </c>
      <c r="C287" s="505" t="s">
        <v>24</v>
      </c>
      <c r="D287" s="524">
        <v>11</v>
      </c>
      <c r="E287" s="594"/>
      <c r="F287" s="528">
        <f t="shared" si="17"/>
        <v>0</v>
      </c>
    </row>
    <row r="288" spans="1:6" s="8" customFormat="1" ht="13.9" customHeight="1" outlineLevel="1">
      <c r="A288" s="526" t="s">
        <v>1822</v>
      </c>
      <c r="B288" s="527" t="s">
        <v>1823</v>
      </c>
      <c r="C288" s="505" t="s">
        <v>24</v>
      </c>
      <c r="D288" s="524">
        <v>92</v>
      </c>
      <c r="E288" s="594"/>
      <c r="F288" s="528">
        <f t="shared" si="17"/>
        <v>0</v>
      </c>
    </row>
    <row r="289" spans="1:6" s="8" customFormat="1" ht="13.9" customHeight="1" outlineLevel="1">
      <c r="A289" s="526" t="s">
        <v>1824</v>
      </c>
      <c r="B289" s="527" t="s">
        <v>1825</v>
      </c>
      <c r="C289" s="505" t="s">
        <v>1741</v>
      </c>
      <c r="D289" s="524">
        <v>200</v>
      </c>
      <c r="E289" s="594"/>
      <c r="F289" s="528">
        <f t="shared" si="17"/>
        <v>0</v>
      </c>
    </row>
    <row r="290" spans="1:6" s="8" customFormat="1" ht="13.9" customHeight="1" outlineLevel="1">
      <c r="A290" s="519" t="s">
        <v>1826</v>
      </c>
      <c r="B290" s="509" t="s">
        <v>1827</v>
      </c>
      <c r="C290" s="510" t="s">
        <v>1741</v>
      </c>
      <c r="D290" s="520">
        <v>11</v>
      </c>
      <c r="E290" s="593"/>
      <c r="F290" s="512">
        <f t="shared" si="17"/>
        <v>0</v>
      </c>
    </row>
    <row r="291" spans="1:6" s="8" customFormat="1" ht="13.15" outlineLevel="1">
      <c r="A291" s="544"/>
      <c r="B291" s="545"/>
      <c r="C291" s="546"/>
      <c r="D291" s="516"/>
      <c r="E291" s="516"/>
      <c r="F291" s="547"/>
    </row>
    <row r="292" spans="1:6" s="8" customFormat="1" ht="179.25" customHeight="1" outlineLevel="1">
      <c r="A292" s="503" t="s">
        <v>1828</v>
      </c>
      <c r="B292" s="540" t="s">
        <v>1829</v>
      </c>
      <c r="C292" s="505"/>
      <c r="D292" s="506"/>
      <c r="E292" s="506"/>
      <c r="F292" s="507"/>
    </row>
    <row r="293" spans="1:6" s="8" customFormat="1" ht="13.9" customHeight="1" outlineLevel="1">
      <c r="A293" s="549"/>
      <c r="B293" s="509"/>
      <c r="C293" s="510" t="s">
        <v>1830</v>
      </c>
      <c r="D293" s="520">
        <v>1</v>
      </c>
      <c r="E293" s="593"/>
      <c r="F293" s="512">
        <f t="shared" ref="F293" si="18">D293*E293</f>
        <v>0</v>
      </c>
    </row>
    <row r="294" spans="1:6" s="8" customFormat="1" ht="13.15" outlineLevel="1">
      <c r="A294" s="544"/>
      <c r="B294" s="545"/>
      <c r="C294" s="546"/>
      <c r="D294" s="516"/>
      <c r="E294" s="516"/>
      <c r="F294" s="547"/>
    </row>
    <row r="295" spans="1:6" s="8" customFormat="1" ht="15" customHeight="1">
      <c r="A295" s="529" t="str">
        <f>A268</f>
        <v>5.</v>
      </c>
      <c r="B295" s="548" t="str">
        <f>B268</f>
        <v>OPREMA CESTE</v>
      </c>
      <c r="C295" s="531"/>
      <c r="D295" s="531"/>
      <c r="E295" s="531"/>
      <c r="F295" s="532">
        <f>SUM(F274:F293)</f>
        <v>0</v>
      </c>
    </row>
    <row r="296" spans="1:6" s="8" customFormat="1" ht="13.15">
      <c r="A296" s="544"/>
      <c r="B296" s="545"/>
      <c r="C296" s="546"/>
      <c r="D296" s="516"/>
      <c r="E296" s="516"/>
      <c r="F296" s="547"/>
    </row>
    <row r="297" spans="1:6" s="8" customFormat="1" ht="15" customHeight="1">
      <c r="A297" s="498" t="s">
        <v>1263</v>
      </c>
      <c r="B297" s="499" t="s">
        <v>1831</v>
      </c>
      <c r="C297" s="499"/>
      <c r="D297" s="499"/>
      <c r="E297" s="499"/>
      <c r="F297" s="500"/>
    </row>
    <row r="298" spans="1:6" s="8" customFormat="1" ht="13.15" outlineLevel="1">
      <c r="A298" s="544"/>
      <c r="B298" s="545"/>
      <c r="C298" s="546"/>
      <c r="D298" s="516"/>
      <c r="E298" s="516"/>
      <c r="F298" s="547"/>
    </row>
    <row r="299" spans="1:6" s="8" customFormat="1" ht="13.5" outlineLevel="1">
      <c r="A299" s="555"/>
      <c r="B299" s="975" t="s">
        <v>1793</v>
      </c>
      <c r="C299" s="975"/>
      <c r="D299" s="506"/>
      <c r="E299" s="506"/>
      <c r="F299" s="507"/>
    </row>
    <row r="300" spans="1:6" s="8" customFormat="1" ht="56.25" customHeight="1" outlineLevel="1">
      <c r="A300" s="556"/>
      <c r="B300" s="976" t="s">
        <v>1832</v>
      </c>
      <c r="C300" s="976"/>
      <c r="D300" s="976"/>
      <c r="E300" s="976"/>
      <c r="F300" s="976"/>
    </row>
    <row r="301" spans="1:6" s="8" customFormat="1" ht="13.15" outlineLevel="1">
      <c r="A301" s="544"/>
      <c r="B301" s="545"/>
      <c r="C301" s="546"/>
      <c r="D301" s="516"/>
      <c r="E301" s="516"/>
      <c r="F301" s="547"/>
    </row>
    <row r="302" spans="1:6" s="8" customFormat="1" ht="245.25" customHeight="1" outlineLevel="1">
      <c r="A302" s="503" t="s">
        <v>1584</v>
      </c>
      <c r="B302" s="543" t="s">
        <v>1833</v>
      </c>
      <c r="C302" s="505"/>
      <c r="D302" s="506"/>
      <c r="E302" s="506"/>
      <c r="F302" s="507"/>
    </row>
    <row r="303" spans="1:6" s="8" customFormat="1" ht="13.9" customHeight="1" outlineLevel="1">
      <c r="A303" s="549"/>
      <c r="B303" s="509" t="s">
        <v>1834</v>
      </c>
      <c r="C303" s="510" t="s">
        <v>24</v>
      </c>
      <c r="D303" s="520">
        <v>6</v>
      </c>
      <c r="E303" s="593"/>
      <c r="F303" s="512">
        <f t="shared" ref="F303" si="19">D303*E303</f>
        <v>0</v>
      </c>
    </row>
    <row r="304" spans="1:6" s="8" customFormat="1" ht="13.15" outlineLevel="1">
      <c r="A304" s="544"/>
      <c r="B304" s="545"/>
      <c r="C304" s="546"/>
      <c r="D304" s="516"/>
      <c r="E304" s="516"/>
      <c r="F304" s="547"/>
    </row>
    <row r="305" spans="1:6" s="8" customFormat="1" ht="245.25" customHeight="1" outlineLevel="1">
      <c r="A305" s="503" t="s">
        <v>1835</v>
      </c>
      <c r="B305" s="543" t="s">
        <v>1836</v>
      </c>
      <c r="C305" s="505"/>
      <c r="D305" s="506"/>
      <c r="E305" s="506"/>
      <c r="F305" s="507"/>
    </row>
    <row r="306" spans="1:6" s="8" customFormat="1" ht="13.9" customHeight="1" outlineLevel="1">
      <c r="A306" s="549"/>
      <c r="B306" s="509" t="s">
        <v>1837</v>
      </c>
      <c r="C306" s="510" t="s">
        <v>24</v>
      </c>
      <c r="D306" s="520">
        <v>6</v>
      </c>
      <c r="E306" s="593"/>
      <c r="F306" s="512">
        <f t="shared" ref="F306" si="20">D306*E306</f>
        <v>0</v>
      </c>
    </row>
    <row r="307" spans="1:6" s="8" customFormat="1" ht="13.15" outlineLevel="1">
      <c r="A307" s="544"/>
      <c r="B307" s="545"/>
      <c r="C307" s="546"/>
      <c r="D307" s="516"/>
      <c r="E307" s="516"/>
      <c r="F307" s="547"/>
    </row>
    <row r="308" spans="1:6" s="8" customFormat="1" ht="15" customHeight="1">
      <c r="A308" s="529" t="str">
        <f>A297</f>
        <v>6.</v>
      </c>
      <c r="B308" s="548" t="str">
        <f>B297</f>
        <v>KONTROLA IZVEDBE</v>
      </c>
      <c r="C308" s="531"/>
      <c r="D308" s="531"/>
      <c r="E308" s="531"/>
      <c r="F308" s="532">
        <f>SUM(F302:F306)</f>
        <v>0</v>
      </c>
    </row>
    <row r="309" spans="1:6" s="8" customFormat="1" ht="13.15">
      <c r="A309" s="544"/>
      <c r="B309" s="545"/>
      <c r="C309" s="546"/>
      <c r="D309" s="516"/>
      <c r="E309" s="516"/>
      <c r="F309" s="547"/>
    </row>
    <row r="310" spans="1:6" s="8" customFormat="1" ht="13.15">
      <c r="A310" s="544"/>
      <c r="B310" s="545"/>
      <c r="C310" s="546"/>
      <c r="D310" s="516"/>
      <c r="E310" s="516"/>
      <c r="F310" s="547"/>
    </row>
    <row r="311" spans="1:6" s="8" customFormat="1" ht="19.5" customHeight="1" thickBot="1">
      <c r="A311" s="557"/>
      <c r="B311" s="558" t="s">
        <v>1838</v>
      </c>
      <c r="C311" s="559"/>
      <c r="D311" s="559"/>
      <c r="E311" s="560"/>
      <c r="F311" s="561"/>
    </row>
    <row r="312" spans="1:6" s="8" customFormat="1" ht="13.5" thickTop="1">
      <c r="A312" s="562"/>
      <c r="B312" s="563"/>
      <c r="C312" s="564"/>
      <c r="D312" s="564"/>
      <c r="E312" s="565"/>
      <c r="F312" s="566"/>
    </row>
    <row r="313" spans="1:6" s="8" customFormat="1" ht="14.25">
      <c r="A313" s="567" t="s">
        <v>1177</v>
      </c>
      <c r="B313" s="568" t="str">
        <f>B199</f>
        <v>PRIPREMNI RADOVI</v>
      </c>
      <c r="C313" s="568"/>
      <c r="D313" s="569"/>
      <c r="E313" s="570"/>
      <c r="F313" s="571">
        <f>F216</f>
        <v>0</v>
      </c>
    </row>
    <row r="314" spans="1:6" s="8" customFormat="1" ht="14.25">
      <c r="A314" s="567" t="s">
        <v>1190</v>
      </c>
      <c r="B314" s="572" t="str">
        <f>B218</f>
        <v>ZEMLJANI RADOVI</v>
      </c>
      <c r="C314" s="572"/>
      <c r="D314" s="572"/>
      <c r="E314" s="572"/>
      <c r="F314" s="571">
        <f>F236</f>
        <v>0</v>
      </c>
    </row>
    <row r="315" spans="1:6" s="8" customFormat="1" ht="14.25">
      <c r="A315" s="567" t="s">
        <v>1257</v>
      </c>
      <c r="B315" s="572" t="str">
        <f>B238</f>
        <v>ODVODNJA TAMPONSKOG SLOJA</v>
      </c>
      <c r="C315" s="572"/>
      <c r="D315" s="572"/>
      <c r="E315" s="572"/>
      <c r="F315" s="571">
        <f>F243</f>
        <v>0</v>
      </c>
    </row>
    <row r="316" spans="1:6" s="8" customFormat="1" ht="14.25">
      <c r="A316" s="573" t="str">
        <f>A266</f>
        <v>4.</v>
      </c>
      <c r="B316" s="572" t="str">
        <f>B266</f>
        <v>KOLNIČKA KONSTRUKCIJA I NOGOSTUP</v>
      </c>
      <c r="C316" s="572"/>
      <c r="D316" s="572"/>
      <c r="E316" s="572"/>
      <c r="F316" s="571">
        <f>F266</f>
        <v>0</v>
      </c>
    </row>
    <row r="317" spans="1:6" s="8" customFormat="1" ht="14.25">
      <c r="A317" s="573" t="str">
        <f>A295</f>
        <v>5.</v>
      </c>
      <c r="B317" s="572" t="str">
        <f>B295</f>
        <v>OPREMA CESTE</v>
      </c>
      <c r="C317" s="572"/>
      <c r="D317" s="572"/>
      <c r="E317" s="572"/>
      <c r="F317" s="571">
        <f>F295</f>
        <v>0</v>
      </c>
    </row>
    <row r="318" spans="1:6" s="8" customFormat="1" ht="14.25">
      <c r="A318" s="573" t="str">
        <f>A308</f>
        <v>6.</v>
      </c>
      <c r="B318" s="572" t="str">
        <f>B308</f>
        <v>KONTROLA IZVEDBE</v>
      </c>
      <c r="C318" s="572"/>
      <c r="D318" s="572"/>
      <c r="E318" s="572"/>
      <c r="F318" s="571">
        <f>F308</f>
        <v>0</v>
      </c>
    </row>
    <row r="319" spans="1:6" s="8" customFormat="1" ht="13.15">
      <c r="A319" s="574"/>
      <c r="B319" s="575"/>
      <c r="C319" s="576"/>
      <c r="D319" s="576"/>
      <c r="E319" s="577"/>
      <c r="F319" s="578"/>
    </row>
    <row r="320" spans="1:6" s="8" customFormat="1" ht="14.25">
      <c r="A320" s="579"/>
      <c r="B320" s="580"/>
      <c r="C320" s="581"/>
      <c r="D320" s="582"/>
      <c r="E320" s="583" t="s">
        <v>1444</v>
      </c>
      <c r="F320" s="584">
        <f>SUM(F313:F318)</f>
        <v>0</v>
      </c>
    </row>
    <row r="321" spans="1:6" s="8" customFormat="1" ht="14.25">
      <c r="A321" s="585"/>
      <c r="B321" s="456"/>
      <c r="C321" s="457"/>
      <c r="D321" s="586"/>
      <c r="E321" s="587" t="s">
        <v>1839</v>
      </c>
      <c r="F321" s="588">
        <f>F320*0.25</f>
        <v>0</v>
      </c>
    </row>
    <row r="322" spans="1:6" s="8" customFormat="1" ht="15">
      <c r="A322" s="585"/>
      <c r="B322" s="456"/>
      <c r="C322" s="457"/>
      <c r="D322" s="586"/>
      <c r="E322" s="589" t="s">
        <v>1840</v>
      </c>
      <c r="F322" s="590">
        <f>F320+F321</f>
        <v>0</v>
      </c>
    </row>
    <row r="323" spans="1:6" s="8" customFormat="1" ht="13.5">
      <c r="A323" s="2"/>
      <c r="B323" s="2"/>
      <c r="C323" s="2"/>
      <c r="D323" s="2"/>
      <c r="E323" s="591"/>
      <c r="F323" s="592"/>
    </row>
  </sheetData>
  <sheetProtection algorithmName="SHA-512" hashValue="zCAHk6op+Oij4ZuD1TmvYms9CnXR1ZfcKvBVBfsn+YBgNR6Y33Uq35Xpyep4v4pwCSRe40iU7/wLiUCzrZjxKg==" saltValue="Z+bS2lvaRvK+OiqPeotysg==" spinCount="100000" sheet="1" objects="1" scenarios="1"/>
  <mergeCells count="94">
    <mergeCell ref="B299:C299"/>
    <mergeCell ref="B300:F300"/>
    <mergeCell ref="B191:F191"/>
    <mergeCell ref="B193:F193"/>
    <mergeCell ref="A195:F195"/>
    <mergeCell ref="B270:C270"/>
    <mergeCell ref="B271:F271"/>
    <mergeCell ref="B272:F272"/>
    <mergeCell ref="B189:F189"/>
    <mergeCell ref="B165:F165"/>
    <mergeCell ref="B167:F167"/>
    <mergeCell ref="B169:F169"/>
    <mergeCell ref="B171:F171"/>
    <mergeCell ref="B175:F175"/>
    <mergeCell ref="B177:F177"/>
    <mergeCell ref="B179:F179"/>
    <mergeCell ref="B181:F181"/>
    <mergeCell ref="B183:F183"/>
    <mergeCell ref="B185:F185"/>
    <mergeCell ref="B187:C187"/>
    <mergeCell ref="B161:F161"/>
    <mergeCell ref="B134:F134"/>
    <mergeCell ref="B135:F135"/>
    <mergeCell ref="B139:F139"/>
    <mergeCell ref="B141:F141"/>
    <mergeCell ref="B143:F143"/>
    <mergeCell ref="B147:F147"/>
    <mergeCell ref="B151:F151"/>
    <mergeCell ref="B153:F153"/>
    <mergeCell ref="B155:F155"/>
    <mergeCell ref="B157:F157"/>
    <mergeCell ref="B159:F159"/>
    <mergeCell ref="B133:F133"/>
    <mergeCell ref="B114:F114"/>
    <mergeCell ref="B115:F115"/>
    <mergeCell ref="B116:F116"/>
    <mergeCell ref="B118:F118"/>
    <mergeCell ref="B120:F120"/>
    <mergeCell ref="B122:F122"/>
    <mergeCell ref="B123:F123"/>
    <mergeCell ref="B124:F124"/>
    <mergeCell ref="B126:F126"/>
    <mergeCell ref="B128:F128"/>
    <mergeCell ref="B132:F132"/>
    <mergeCell ref="B113:F113"/>
    <mergeCell ref="B95:F95"/>
    <mergeCell ref="B97:F97"/>
    <mergeCell ref="B99:F99"/>
    <mergeCell ref="B101:F101"/>
    <mergeCell ref="B103:F103"/>
    <mergeCell ref="B105:F105"/>
    <mergeCell ref="B107:F107"/>
    <mergeCell ref="B109:F109"/>
    <mergeCell ref="B110:F110"/>
    <mergeCell ref="B111:F111"/>
    <mergeCell ref="B112:F112"/>
    <mergeCell ref="B94:F94"/>
    <mergeCell ref="B79:G79"/>
    <mergeCell ref="B80:G80"/>
    <mergeCell ref="B81:G81"/>
    <mergeCell ref="B82:G82"/>
    <mergeCell ref="B83:G83"/>
    <mergeCell ref="B84:F84"/>
    <mergeCell ref="B85:F85"/>
    <mergeCell ref="B87:F87"/>
    <mergeCell ref="B89:F89"/>
    <mergeCell ref="B91:F91"/>
    <mergeCell ref="B93:F93"/>
    <mergeCell ref="B78:G78"/>
    <mergeCell ref="B62:F62"/>
    <mergeCell ref="B64:F64"/>
    <mergeCell ref="B66:F66"/>
    <mergeCell ref="B68:F68"/>
    <mergeCell ref="B70:F70"/>
    <mergeCell ref="B72:F72"/>
    <mergeCell ref="B73:F73"/>
    <mergeCell ref="B74:F74"/>
    <mergeCell ref="B75:G75"/>
    <mergeCell ref="B76:G76"/>
    <mergeCell ref="B77:G77"/>
    <mergeCell ref="B3:F3"/>
    <mergeCell ref="B8:F8"/>
    <mergeCell ref="B9:F9"/>
    <mergeCell ref="B12:F12"/>
    <mergeCell ref="B61:F61"/>
    <mergeCell ref="B4:D4"/>
    <mergeCell ref="B6:D6"/>
    <mergeCell ref="A33:G36"/>
    <mergeCell ref="B57:F57"/>
    <mergeCell ref="B59:F59"/>
    <mergeCell ref="B13:F13"/>
    <mergeCell ref="B17:F17"/>
    <mergeCell ref="B18:F18"/>
    <mergeCell ref="B19:F19"/>
  </mergeCells>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B2AD1-5F2B-4304-8553-F5A36559F3F1}">
  <sheetPr>
    <tabColor rgb="FF7030A0"/>
    <pageSetUpPr fitToPage="1"/>
  </sheetPr>
  <dimension ref="A1:BR339"/>
  <sheetViews>
    <sheetView topLeftCell="A199" zoomScaleNormal="100" zoomScaleSheetLayoutView="70" workbookViewId="0">
      <selection activeCell="B300" sqref="B300"/>
    </sheetView>
  </sheetViews>
  <sheetFormatPr defaultColWidth="9.1328125" defaultRowHeight="15"/>
  <cols>
    <col min="1" max="1" width="8.1328125" style="630" bestFit="1" customWidth="1"/>
    <col min="2" max="2" width="54.265625" style="598" customWidth="1"/>
    <col min="3" max="3" width="12.1328125" style="629" customWidth="1"/>
    <col min="4" max="4" width="10.3984375" style="612" customWidth="1"/>
    <col min="5" max="5" width="18.1328125" style="10" bestFit="1" customWidth="1"/>
    <col min="6" max="6" width="20.73046875" style="613" customWidth="1"/>
    <col min="7" max="7" width="10.1328125" style="598" bestFit="1" customWidth="1"/>
    <col min="8" max="8" width="9.1328125" style="598"/>
    <col min="9" max="9" width="17" style="598" bestFit="1" customWidth="1"/>
    <col min="10" max="16384" width="9.1328125" style="598"/>
  </cols>
  <sheetData>
    <row r="1" spans="1:7">
      <c r="A1" s="983" t="s">
        <v>1247</v>
      </c>
      <c r="B1" s="983" t="s">
        <v>1248</v>
      </c>
      <c r="C1" s="595" t="s">
        <v>1249</v>
      </c>
      <c r="D1" s="596" t="s">
        <v>1250</v>
      </c>
      <c r="E1" s="9" t="s">
        <v>1251</v>
      </c>
      <c r="F1" s="597" t="s">
        <v>1243</v>
      </c>
    </row>
    <row r="2" spans="1:7">
      <c r="A2" s="983"/>
      <c r="B2" s="983"/>
      <c r="C2" s="595"/>
      <c r="D2" s="596"/>
      <c r="E2" s="597" t="s">
        <v>175</v>
      </c>
      <c r="F2" s="597"/>
    </row>
    <row r="3" spans="1:7">
      <c r="A3" s="983" t="s">
        <v>1252</v>
      </c>
      <c r="B3" s="983"/>
      <c r="C3" s="595"/>
      <c r="D3" s="596"/>
      <c r="E3" s="597"/>
      <c r="F3" s="597"/>
    </row>
    <row r="4" spans="1:7">
      <c r="A4" s="595"/>
      <c r="B4" s="595"/>
      <c r="C4" s="595"/>
      <c r="D4" s="596"/>
      <c r="E4" s="597"/>
      <c r="F4" s="597"/>
    </row>
    <row r="5" spans="1:7">
      <c r="A5" s="599" t="s">
        <v>1253</v>
      </c>
      <c r="B5" s="600"/>
      <c r="C5" s="595"/>
      <c r="D5" s="596"/>
      <c r="E5" s="597"/>
      <c r="F5" s="597"/>
    </row>
    <row r="6" spans="1:7">
      <c r="A6" s="595"/>
      <c r="B6" s="595"/>
      <c r="C6" s="595"/>
      <c r="D6" s="596"/>
      <c r="E6" s="597"/>
      <c r="F6" s="597"/>
    </row>
    <row r="7" spans="1:7" ht="75">
      <c r="A7" s="595"/>
      <c r="B7" s="601" t="s">
        <v>1254</v>
      </c>
      <c r="C7" s="595"/>
      <c r="D7" s="596"/>
      <c r="E7" s="597"/>
      <c r="F7" s="597"/>
    </row>
    <row r="8" spans="1:7">
      <c r="A8" s="595"/>
      <c r="B8" s="601"/>
      <c r="C8" s="595"/>
      <c r="D8" s="596"/>
      <c r="E8" s="597"/>
      <c r="F8" s="597"/>
    </row>
    <row r="9" spans="1:7">
      <c r="A9" s="595"/>
      <c r="B9" s="595"/>
      <c r="C9" s="595"/>
      <c r="D9" s="596"/>
      <c r="E9" s="597"/>
      <c r="F9" s="597"/>
    </row>
    <row r="10" spans="1:7" ht="60">
      <c r="A10" s="602" t="s">
        <v>1177</v>
      </c>
      <c r="B10" s="603" t="s">
        <v>1255</v>
      </c>
      <c r="C10" s="604" t="s">
        <v>1016</v>
      </c>
      <c r="D10" s="605">
        <v>1</v>
      </c>
      <c r="E10" s="11"/>
      <c r="F10" s="606">
        <f>D10*E10</f>
        <v>0</v>
      </c>
      <c r="G10" s="607"/>
    </row>
    <row r="11" spans="1:7">
      <c r="A11" s="595"/>
      <c r="B11" s="595"/>
      <c r="C11" s="595"/>
      <c r="D11" s="596"/>
      <c r="E11" s="608"/>
      <c r="F11" s="608"/>
    </row>
    <row r="12" spans="1:7" ht="45">
      <c r="A12" s="602" t="s">
        <v>1190</v>
      </c>
      <c r="B12" s="603" t="s">
        <v>1256</v>
      </c>
      <c r="C12" s="604" t="s">
        <v>1016</v>
      </c>
      <c r="D12" s="605">
        <v>1</v>
      </c>
      <c r="E12" s="11"/>
      <c r="F12" s="606">
        <f>D12*E12</f>
        <v>0</v>
      </c>
      <c r="G12" s="607"/>
    </row>
    <row r="13" spans="1:7">
      <c r="A13" s="595"/>
      <c r="B13" s="595"/>
      <c r="C13" s="595"/>
      <c r="D13" s="596"/>
      <c r="E13" s="608"/>
      <c r="F13" s="608"/>
    </row>
    <row r="14" spans="1:7" ht="63" customHeight="1">
      <c r="A14" s="602" t="s">
        <v>1257</v>
      </c>
      <c r="B14" s="603" t="s">
        <v>1258</v>
      </c>
      <c r="C14" s="604" t="s">
        <v>1016</v>
      </c>
      <c r="D14" s="605">
        <v>1</v>
      </c>
      <c r="E14" s="11"/>
      <c r="F14" s="606">
        <f>D14*E14</f>
        <v>0</v>
      </c>
      <c r="G14" s="607"/>
    </row>
    <row r="15" spans="1:7">
      <c r="A15" s="595"/>
      <c r="B15" s="595"/>
      <c r="C15" s="595"/>
      <c r="D15" s="596"/>
      <c r="E15" s="608"/>
      <c r="F15" s="608"/>
    </row>
    <row r="16" spans="1:7" ht="45">
      <c r="A16" s="602" t="s">
        <v>1259</v>
      </c>
      <c r="B16" s="603" t="s">
        <v>1260</v>
      </c>
      <c r="C16" s="604" t="s">
        <v>1016</v>
      </c>
      <c r="D16" s="605">
        <v>1</v>
      </c>
      <c r="E16" s="11"/>
      <c r="F16" s="606">
        <f>D16*E16</f>
        <v>0</v>
      </c>
      <c r="G16" s="607"/>
    </row>
    <row r="17" spans="1:7">
      <c r="A17" s="595"/>
      <c r="B17" s="595"/>
      <c r="C17" s="595"/>
      <c r="D17" s="596"/>
      <c r="E17" s="608"/>
      <c r="F17" s="608"/>
    </row>
    <row r="18" spans="1:7" ht="30">
      <c r="A18" s="602" t="s">
        <v>1261</v>
      </c>
      <c r="B18" s="603" t="s">
        <v>1262</v>
      </c>
      <c r="C18" s="604" t="s">
        <v>1016</v>
      </c>
      <c r="D18" s="605">
        <v>1</v>
      </c>
      <c r="E18" s="11"/>
      <c r="F18" s="606">
        <f>D18*E18</f>
        <v>0</v>
      </c>
      <c r="G18" s="607"/>
    </row>
    <row r="19" spans="1:7">
      <c r="A19" s="595"/>
      <c r="B19" s="595"/>
      <c r="C19" s="595"/>
      <c r="D19" s="596"/>
      <c r="E19" s="608"/>
      <c r="F19" s="608"/>
    </row>
    <row r="20" spans="1:7" ht="30" customHeight="1">
      <c r="A20" s="984" t="s">
        <v>1263</v>
      </c>
      <c r="B20" s="985" t="s">
        <v>1264</v>
      </c>
      <c r="C20" s="981" t="s">
        <v>1016</v>
      </c>
      <c r="D20" s="986">
        <v>1</v>
      </c>
      <c r="E20" s="987"/>
      <c r="F20" s="988">
        <f>D20*E20</f>
        <v>0</v>
      </c>
      <c r="G20" s="607"/>
    </row>
    <row r="21" spans="1:7" ht="24.75" customHeight="1">
      <c r="A21" s="984"/>
      <c r="B21" s="985"/>
      <c r="C21" s="981"/>
      <c r="D21" s="986"/>
      <c r="E21" s="987"/>
      <c r="F21" s="988"/>
    </row>
    <row r="22" spans="1:7">
      <c r="A22" s="595"/>
      <c r="B22" s="595"/>
      <c r="C22" s="595"/>
      <c r="D22" s="596"/>
      <c r="E22" s="597"/>
      <c r="F22" s="597"/>
    </row>
    <row r="23" spans="1:7">
      <c r="A23" s="595"/>
      <c r="B23" s="595"/>
      <c r="C23" s="595"/>
      <c r="D23" s="596"/>
      <c r="E23" s="597"/>
      <c r="F23" s="597"/>
    </row>
    <row r="24" spans="1:7">
      <c r="A24" s="599" t="s">
        <v>1265</v>
      </c>
      <c r="B24" s="600"/>
      <c r="C24" s="609"/>
      <c r="D24" s="610"/>
      <c r="E24" s="597"/>
      <c r="F24" s="597"/>
    </row>
    <row r="25" spans="1:7">
      <c r="A25" s="604"/>
      <c r="B25" s="611"/>
      <c r="C25" s="604"/>
      <c r="E25" s="613"/>
    </row>
    <row r="26" spans="1:7" s="607" customFormat="1" ht="248.25" customHeight="1">
      <c r="A26" s="614" t="s">
        <v>1177</v>
      </c>
      <c r="B26" s="615" t="s">
        <v>2011</v>
      </c>
      <c r="C26" s="616"/>
      <c r="D26" s="617"/>
      <c r="E26" s="618"/>
      <c r="F26" s="619"/>
    </row>
    <row r="27" spans="1:7" s="607" customFormat="1" ht="46.5" customHeight="1">
      <c r="B27" s="615" t="s">
        <v>2010</v>
      </c>
      <c r="C27" s="616"/>
      <c r="D27" s="617"/>
      <c r="E27" s="618"/>
      <c r="F27" s="619"/>
    </row>
    <row r="28" spans="1:7" s="607" customFormat="1" ht="13.15">
      <c r="A28" s="620"/>
      <c r="B28" s="621"/>
      <c r="C28" s="622"/>
      <c r="D28" s="623"/>
      <c r="E28" s="618"/>
      <c r="F28" s="619"/>
    </row>
    <row r="29" spans="1:7" s="607" customFormat="1">
      <c r="B29" s="624" t="s">
        <v>1266</v>
      </c>
      <c r="C29" s="616"/>
      <c r="D29" s="617"/>
      <c r="E29" s="618"/>
      <c r="F29" s="619"/>
    </row>
    <row r="30" spans="1:7" s="607" customFormat="1" ht="30">
      <c r="B30" s="615" t="s">
        <v>2012</v>
      </c>
      <c r="C30" s="616"/>
      <c r="D30" s="617"/>
      <c r="E30" s="618"/>
      <c r="F30" s="619"/>
    </row>
    <row r="31" spans="1:7" s="607" customFormat="1">
      <c r="B31" s="625" t="s">
        <v>2004</v>
      </c>
      <c r="C31" s="616"/>
      <c r="D31" s="617"/>
      <c r="E31" s="618"/>
      <c r="F31" s="619"/>
    </row>
    <row r="32" spans="1:7" s="607" customFormat="1">
      <c r="B32" s="615" t="s">
        <v>1267</v>
      </c>
      <c r="C32" s="616"/>
      <c r="D32" s="617"/>
      <c r="E32" s="618"/>
      <c r="F32" s="619"/>
    </row>
    <row r="33" spans="2:6" s="607" customFormat="1">
      <c r="B33" s="615" t="s">
        <v>1268</v>
      </c>
      <c r="C33" s="616"/>
      <c r="D33" s="617"/>
      <c r="E33" s="618"/>
      <c r="F33" s="619"/>
    </row>
    <row r="34" spans="2:6" s="607" customFormat="1">
      <c r="B34" s="615" t="s">
        <v>1269</v>
      </c>
      <c r="C34" s="616"/>
      <c r="D34" s="617"/>
      <c r="E34" s="618"/>
      <c r="F34" s="619"/>
    </row>
    <row r="35" spans="2:6" s="607" customFormat="1">
      <c r="B35" s="615" t="s">
        <v>1270</v>
      </c>
      <c r="C35" s="616"/>
      <c r="D35" s="617"/>
      <c r="E35" s="618"/>
      <c r="F35" s="619"/>
    </row>
    <row r="36" spans="2:6" s="607" customFormat="1" ht="18.75" customHeight="1">
      <c r="B36" s="615" t="s">
        <v>1271</v>
      </c>
      <c r="C36" s="616"/>
      <c r="D36" s="617"/>
      <c r="E36" s="618"/>
      <c r="F36" s="619"/>
    </row>
    <row r="37" spans="2:6" s="607" customFormat="1" ht="18" customHeight="1">
      <c r="B37" s="615" t="s">
        <v>1998</v>
      </c>
      <c r="C37" s="616"/>
      <c r="D37" s="617"/>
      <c r="E37" s="618"/>
      <c r="F37" s="619"/>
    </row>
    <row r="38" spans="2:6" s="607" customFormat="1" ht="35.25" customHeight="1">
      <c r="B38" s="615" t="s">
        <v>2002</v>
      </c>
      <c r="C38" s="616"/>
      <c r="D38" s="617"/>
      <c r="E38" s="618"/>
      <c r="F38" s="619"/>
    </row>
    <row r="39" spans="2:6" s="607" customFormat="1" ht="18.75" customHeight="1">
      <c r="B39" s="615" t="s">
        <v>2005</v>
      </c>
      <c r="C39" s="616"/>
      <c r="D39" s="617"/>
      <c r="E39" s="618"/>
      <c r="F39" s="619"/>
    </row>
    <row r="40" spans="2:6" s="607" customFormat="1" ht="19.5" customHeight="1">
      <c r="B40" s="615" t="s">
        <v>2006</v>
      </c>
      <c r="C40" s="616"/>
      <c r="D40" s="617"/>
      <c r="E40" s="618"/>
      <c r="F40" s="619"/>
    </row>
    <row r="41" spans="2:6" s="607" customFormat="1" ht="30">
      <c r="B41" s="615" t="s">
        <v>2003</v>
      </c>
      <c r="C41" s="616"/>
      <c r="D41" s="617"/>
      <c r="E41" s="618"/>
      <c r="F41" s="619"/>
    </row>
    <row r="42" spans="2:6" s="607" customFormat="1" ht="30">
      <c r="B42" s="624" t="s">
        <v>1272</v>
      </c>
      <c r="C42" s="616"/>
      <c r="D42" s="617"/>
      <c r="E42" s="618"/>
      <c r="F42" s="619"/>
    </row>
    <row r="43" spans="2:6" s="607" customFormat="1">
      <c r="B43" s="624"/>
      <c r="C43" s="616"/>
      <c r="D43" s="617"/>
      <c r="E43" s="618"/>
      <c r="F43" s="619"/>
    </row>
    <row r="44" spans="2:6" s="607" customFormat="1">
      <c r="B44" s="615" t="s">
        <v>2007</v>
      </c>
      <c r="C44" s="616"/>
      <c r="D44" s="617"/>
      <c r="E44" s="618"/>
      <c r="F44" s="619"/>
    </row>
    <row r="45" spans="2:6" s="607" customFormat="1">
      <c r="B45" s="615" t="s">
        <v>1273</v>
      </c>
      <c r="C45" s="616"/>
      <c r="D45" s="617"/>
      <c r="E45" s="618"/>
      <c r="F45" s="619"/>
    </row>
    <row r="46" spans="2:6" s="607" customFormat="1">
      <c r="B46" s="615" t="s">
        <v>2009</v>
      </c>
      <c r="C46" s="616"/>
      <c r="D46" s="617"/>
      <c r="E46" s="618"/>
      <c r="F46" s="619"/>
    </row>
    <row r="47" spans="2:6" s="607" customFormat="1" ht="30">
      <c r="B47" s="615" t="s">
        <v>1274</v>
      </c>
      <c r="C47" s="616"/>
      <c r="D47" s="617"/>
      <c r="E47" s="618"/>
      <c r="F47" s="619"/>
    </row>
    <row r="48" spans="2:6" s="607" customFormat="1">
      <c r="B48" s="615" t="s">
        <v>2013</v>
      </c>
      <c r="C48" s="616"/>
      <c r="D48" s="617"/>
      <c r="E48" s="618"/>
      <c r="F48" s="619"/>
    </row>
    <row r="49" spans="1:6" s="607" customFormat="1">
      <c r="B49" s="615" t="s">
        <v>2008</v>
      </c>
      <c r="C49" s="616"/>
      <c r="D49" s="617"/>
      <c r="E49" s="618"/>
      <c r="F49" s="619"/>
    </row>
    <row r="50" spans="1:6" s="607" customFormat="1">
      <c r="B50" s="624"/>
      <c r="C50" s="616"/>
      <c r="D50" s="617"/>
      <c r="E50" s="618"/>
      <c r="F50" s="619"/>
    </row>
    <row r="51" spans="1:6" s="607" customFormat="1" ht="94.5" customHeight="1">
      <c r="B51" s="615" t="s">
        <v>1275</v>
      </c>
      <c r="C51" s="604" t="s">
        <v>1016</v>
      </c>
      <c r="D51" s="605">
        <v>1</v>
      </c>
      <c r="E51" s="12"/>
      <c r="F51" s="626">
        <f>D51*E51</f>
        <v>0</v>
      </c>
    </row>
    <row r="52" spans="1:6" ht="21" customHeight="1">
      <c r="A52" s="604"/>
      <c r="B52" s="611"/>
      <c r="C52" s="604"/>
      <c r="D52" s="605"/>
      <c r="E52" s="627"/>
      <c r="F52" s="627"/>
    </row>
    <row r="53" spans="1:6" ht="39" customHeight="1">
      <c r="A53" s="604" t="s">
        <v>1190</v>
      </c>
      <c r="B53" s="611" t="s">
        <v>1276</v>
      </c>
      <c r="C53" s="604" t="s">
        <v>1016</v>
      </c>
      <c r="D53" s="605">
        <v>1</v>
      </c>
      <c r="E53" s="12"/>
      <c r="F53" s="626">
        <f>D53*E53</f>
        <v>0</v>
      </c>
    </row>
    <row r="54" spans="1:6" ht="17.25" customHeight="1">
      <c r="A54" s="604"/>
      <c r="B54" s="611"/>
      <c r="C54" s="604"/>
      <c r="D54" s="605"/>
      <c r="E54" s="627"/>
      <c r="F54" s="627"/>
    </row>
    <row r="55" spans="1:6" ht="45">
      <c r="A55" s="604" t="s">
        <v>1257</v>
      </c>
      <c r="B55" s="611" t="s">
        <v>1277</v>
      </c>
      <c r="C55" s="604" t="s">
        <v>1016</v>
      </c>
      <c r="D55" s="605">
        <v>1</v>
      </c>
      <c r="E55" s="12"/>
      <c r="F55" s="626">
        <f>D55*E55</f>
        <v>0</v>
      </c>
    </row>
    <row r="56" spans="1:6">
      <c r="A56" s="604"/>
      <c r="B56" s="628"/>
      <c r="C56" s="604"/>
      <c r="D56" s="605"/>
      <c r="E56" s="613"/>
    </row>
    <row r="57" spans="1:6" ht="45">
      <c r="A57" s="604" t="s">
        <v>1259</v>
      </c>
      <c r="B57" s="611" t="s">
        <v>1278</v>
      </c>
      <c r="C57" s="604" t="s">
        <v>1016</v>
      </c>
      <c r="D57" s="605">
        <v>1</v>
      </c>
      <c r="E57" s="12"/>
      <c r="F57" s="626">
        <f>D57*E57</f>
        <v>0</v>
      </c>
    </row>
    <row r="58" spans="1:6">
      <c r="A58" s="604"/>
      <c r="E58" s="613"/>
    </row>
    <row r="59" spans="1:6" ht="93" customHeight="1">
      <c r="A59" s="604" t="s">
        <v>1261</v>
      </c>
      <c r="B59" s="611" t="s">
        <v>1279</v>
      </c>
      <c r="C59" s="604" t="s">
        <v>1016</v>
      </c>
      <c r="D59" s="605">
        <v>1</v>
      </c>
      <c r="E59" s="12"/>
      <c r="F59" s="626">
        <f>D59*E59</f>
        <v>0</v>
      </c>
    </row>
    <row r="60" spans="1:6">
      <c r="A60" s="604"/>
      <c r="E60" s="613"/>
    </row>
    <row r="61" spans="1:6" ht="87" customHeight="1">
      <c r="A61" s="604" t="s">
        <v>1263</v>
      </c>
      <c r="B61" s="611" t="s">
        <v>1280</v>
      </c>
      <c r="C61" s="604" t="s">
        <v>1016</v>
      </c>
      <c r="D61" s="605">
        <v>1</v>
      </c>
      <c r="E61" s="12"/>
      <c r="F61" s="626">
        <f>D61*E61</f>
        <v>0</v>
      </c>
    </row>
    <row r="62" spans="1:6">
      <c r="A62" s="604"/>
      <c r="B62" s="611"/>
      <c r="C62" s="604"/>
      <c r="D62" s="605"/>
      <c r="E62" s="627"/>
      <c r="F62" s="627"/>
    </row>
    <row r="63" spans="1:6" ht="45.75" customHeight="1">
      <c r="A63" s="604" t="s">
        <v>1281</v>
      </c>
      <c r="B63" s="611" t="s">
        <v>1282</v>
      </c>
      <c r="C63" s="604"/>
      <c r="D63" s="605"/>
      <c r="E63" s="627"/>
      <c r="F63" s="627"/>
    </row>
    <row r="64" spans="1:6">
      <c r="A64" s="598"/>
      <c r="B64" s="611" t="s">
        <v>2014</v>
      </c>
      <c r="C64" s="604" t="s">
        <v>1283</v>
      </c>
      <c r="D64" s="605">
        <v>1</v>
      </c>
      <c r="E64" s="12"/>
      <c r="F64" s="626">
        <f>D64*E64</f>
        <v>0</v>
      </c>
    </row>
    <row r="65" spans="1:6">
      <c r="A65" s="598"/>
      <c r="B65" s="611" t="s">
        <v>2015</v>
      </c>
      <c r="C65" s="604" t="s">
        <v>1283</v>
      </c>
      <c r="D65" s="605">
        <v>1</v>
      </c>
      <c r="E65" s="12"/>
      <c r="F65" s="626">
        <f t="shared" ref="F65:F67" si="0">D65*E65</f>
        <v>0</v>
      </c>
    </row>
    <row r="66" spans="1:6">
      <c r="A66" s="598"/>
      <c r="B66" s="611" t="s">
        <v>2016</v>
      </c>
      <c r="C66" s="604" t="s">
        <v>1283</v>
      </c>
      <c r="D66" s="605">
        <v>1</v>
      </c>
      <c r="E66" s="12"/>
      <c r="F66" s="626">
        <f t="shared" si="0"/>
        <v>0</v>
      </c>
    </row>
    <row r="67" spans="1:6">
      <c r="A67" s="598"/>
      <c r="B67" s="611" t="s">
        <v>2017</v>
      </c>
      <c r="C67" s="604" t="s">
        <v>1283</v>
      </c>
      <c r="D67" s="605">
        <v>1</v>
      </c>
      <c r="E67" s="12"/>
      <c r="F67" s="626">
        <f t="shared" si="0"/>
        <v>0</v>
      </c>
    </row>
    <row r="68" spans="1:6">
      <c r="A68" s="604"/>
      <c r="B68" s="611"/>
      <c r="C68" s="604"/>
      <c r="D68" s="605"/>
      <c r="E68" s="613"/>
    </row>
    <row r="69" spans="1:6">
      <c r="A69" s="981" t="s">
        <v>1284</v>
      </c>
      <c r="B69" s="982" t="s">
        <v>1285</v>
      </c>
      <c r="C69" s="604"/>
      <c r="D69" s="605"/>
      <c r="E69" s="613"/>
    </row>
    <row r="70" spans="1:6" ht="23.25" customHeight="1">
      <c r="A70" s="981"/>
      <c r="B70" s="982"/>
      <c r="E70" s="613"/>
    </row>
    <row r="71" spans="1:6">
      <c r="A71" s="604"/>
      <c r="B71" s="611" t="s">
        <v>2018</v>
      </c>
      <c r="C71" s="604" t="s">
        <v>1283</v>
      </c>
      <c r="D71" s="605">
        <v>2</v>
      </c>
      <c r="E71" s="12"/>
      <c r="F71" s="626">
        <f t="shared" ref="F71" si="1">D71*E71</f>
        <v>0</v>
      </c>
    </row>
    <row r="72" spans="1:6">
      <c r="A72" s="604"/>
      <c r="B72" s="611" t="s">
        <v>2019</v>
      </c>
      <c r="C72" s="604" t="s">
        <v>1283</v>
      </c>
      <c r="D72" s="605">
        <v>1</v>
      </c>
      <c r="E72" s="12"/>
      <c r="F72" s="626">
        <f t="shared" ref="F72:F73" si="2">D72*E72</f>
        <v>0</v>
      </c>
    </row>
    <row r="73" spans="1:6">
      <c r="A73" s="604"/>
      <c r="B73" s="611" t="s">
        <v>2020</v>
      </c>
      <c r="C73" s="604" t="s">
        <v>1283</v>
      </c>
      <c r="D73" s="605">
        <v>1</v>
      </c>
      <c r="E73" s="12"/>
      <c r="F73" s="626">
        <f t="shared" si="2"/>
        <v>0</v>
      </c>
    </row>
    <row r="74" spans="1:6">
      <c r="A74" s="604"/>
      <c r="B74" s="611"/>
      <c r="C74" s="604"/>
      <c r="D74" s="605"/>
      <c r="E74" s="613"/>
    </row>
    <row r="75" spans="1:6">
      <c r="A75" s="981" t="s">
        <v>1286</v>
      </c>
      <c r="B75" s="982" t="s">
        <v>1287</v>
      </c>
      <c r="C75" s="604"/>
      <c r="D75" s="605"/>
      <c r="E75" s="613"/>
    </row>
    <row r="76" spans="1:6">
      <c r="A76" s="981"/>
      <c r="B76" s="982"/>
      <c r="C76" s="604" t="s">
        <v>1283</v>
      </c>
      <c r="D76" s="605">
        <v>10</v>
      </c>
      <c r="E76" s="12"/>
      <c r="F76" s="626">
        <f t="shared" ref="F76" si="3">D76*E76</f>
        <v>0</v>
      </c>
    </row>
    <row r="77" spans="1:6">
      <c r="A77" s="604"/>
      <c r="B77" s="611"/>
      <c r="C77" s="604"/>
      <c r="D77" s="605"/>
      <c r="E77" s="613"/>
    </row>
    <row r="78" spans="1:6">
      <c r="A78" s="981" t="s">
        <v>1288</v>
      </c>
      <c r="B78" s="982" t="s">
        <v>1289</v>
      </c>
      <c r="C78" s="604"/>
      <c r="D78" s="605"/>
      <c r="E78" s="613"/>
    </row>
    <row r="79" spans="1:6" ht="30.75" customHeight="1">
      <c r="A79" s="981"/>
      <c r="B79" s="982"/>
      <c r="C79" s="604" t="s">
        <v>1283</v>
      </c>
      <c r="D79" s="605">
        <v>10</v>
      </c>
      <c r="E79" s="12"/>
      <c r="F79" s="626">
        <f t="shared" ref="F79" si="4">D79*E79</f>
        <v>0</v>
      </c>
    </row>
    <row r="80" spans="1:6">
      <c r="A80" s="604"/>
      <c r="B80" s="611"/>
      <c r="C80" s="604"/>
      <c r="D80" s="605"/>
      <c r="E80" s="613"/>
    </row>
    <row r="81" spans="1:6">
      <c r="A81" s="981" t="s">
        <v>1290</v>
      </c>
      <c r="B81" s="982" t="s">
        <v>1291</v>
      </c>
      <c r="C81" s="604"/>
      <c r="D81" s="605"/>
      <c r="E81" s="613"/>
    </row>
    <row r="82" spans="1:6" ht="31.5" customHeight="1">
      <c r="A82" s="981"/>
      <c r="B82" s="982"/>
      <c r="E82" s="613"/>
    </row>
    <row r="83" spans="1:6">
      <c r="A83" s="604"/>
      <c r="B83" s="611" t="s">
        <v>2021</v>
      </c>
      <c r="C83" s="604" t="s">
        <v>1283</v>
      </c>
      <c r="D83" s="605">
        <v>1</v>
      </c>
      <c r="E83" s="12"/>
      <c r="F83" s="626">
        <f t="shared" ref="F83" si="5">D83*E83</f>
        <v>0</v>
      </c>
    </row>
    <row r="84" spans="1:6">
      <c r="A84" s="604"/>
      <c r="B84" s="611" t="s">
        <v>2022</v>
      </c>
      <c r="C84" s="604" t="s">
        <v>1283</v>
      </c>
      <c r="D84" s="605">
        <v>1</v>
      </c>
      <c r="E84" s="12"/>
      <c r="F84" s="626">
        <f t="shared" ref="F84:F85" si="6">D84*E84</f>
        <v>0</v>
      </c>
    </row>
    <row r="85" spans="1:6">
      <c r="A85" s="604"/>
      <c r="B85" s="611" t="s">
        <v>2023</v>
      </c>
      <c r="C85" s="604" t="s">
        <v>1283</v>
      </c>
      <c r="D85" s="605">
        <v>2</v>
      </c>
      <c r="E85" s="12"/>
      <c r="F85" s="626">
        <f t="shared" si="6"/>
        <v>0</v>
      </c>
    </row>
    <row r="86" spans="1:6">
      <c r="A86" s="604"/>
      <c r="B86" s="611"/>
      <c r="C86" s="604"/>
      <c r="D86" s="605"/>
      <c r="E86" s="613"/>
    </row>
    <row r="87" spans="1:6">
      <c r="A87" s="981" t="s">
        <v>1292</v>
      </c>
      <c r="B87" s="982" t="s">
        <v>1293</v>
      </c>
      <c r="C87" s="604"/>
      <c r="D87" s="605"/>
      <c r="E87" s="613"/>
    </row>
    <row r="88" spans="1:6" ht="24.75" customHeight="1">
      <c r="A88" s="981"/>
      <c r="B88" s="982"/>
      <c r="C88" s="604"/>
      <c r="D88" s="605"/>
      <c r="E88" s="613"/>
    </row>
    <row r="89" spans="1:6">
      <c r="A89" s="611"/>
      <c r="B89" s="611" t="s">
        <v>2024</v>
      </c>
      <c r="C89" s="604" t="s">
        <v>1283</v>
      </c>
      <c r="D89" s="605">
        <v>6</v>
      </c>
      <c r="E89" s="12"/>
      <c r="F89" s="626">
        <f t="shared" ref="F89" si="7">D89*E89</f>
        <v>0</v>
      </c>
    </row>
    <row r="90" spans="1:6">
      <c r="A90" s="604"/>
      <c r="B90" s="611" t="s">
        <v>2019</v>
      </c>
      <c r="C90" s="604" t="s">
        <v>1283</v>
      </c>
      <c r="D90" s="605">
        <v>4</v>
      </c>
      <c r="E90" s="12"/>
      <c r="F90" s="626">
        <f t="shared" ref="F90:F92" si="8">D90*E90</f>
        <v>0</v>
      </c>
    </row>
    <row r="91" spans="1:6">
      <c r="A91" s="604"/>
      <c r="B91" s="611" t="s">
        <v>2020</v>
      </c>
      <c r="C91" s="604" t="s">
        <v>1283</v>
      </c>
      <c r="D91" s="605">
        <v>4</v>
      </c>
      <c r="E91" s="12"/>
      <c r="F91" s="626">
        <f t="shared" si="8"/>
        <v>0</v>
      </c>
    </row>
    <row r="92" spans="1:6">
      <c r="A92" s="604"/>
      <c r="B92" s="611" t="s">
        <v>2025</v>
      </c>
      <c r="C92" s="604" t="s">
        <v>1283</v>
      </c>
      <c r="D92" s="605">
        <v>8</v>
      </c>
      <c r="E92" s="12"/>
      <c r="F92" s="626">
        <f t="shared" si="8"/>
        <v>0</v>
      </c>
    </row>
    <row r="93" spans="1:6">
      <c r="A93" s="604"/>
      <c r="B93" s="611"/>
      <c r="C93" s="604"/>
      <c r="D93" s="605"/>
      <c r="E93" s="613"/>
    </row>
    <row r="94" spans="1:6">
      <c r="A94" s="981" t="s">
        <v>1294</v>
      </c>
      <c r="B94" s="982" t="s">
        <v>1295</v>
      </c>
      <c r="C94" s="604"/>
      <c r="D94" s="605"/>
      <c r="E94" s="613"/>
    </row>
    <row r="95" spans="1:6">
      <c r="A95" s="981"/>
      <c r="B95" s="982"/>
      <c r="C95" s="604"/>
      <c r="D95" s="605"/>
      <c r="E95" s="613"/>
    </row>
    <row r="96" spans="1:6">
      <c r="A96" s="604"/>
      <c r="B96" s="611" t="s">
        <v>2026</v>
      </c>
      <c r="C96" s="604" t="s">
        <v>1296</v>
      </c>
      <c r="D96" s="605">
        <v>6</v>
      </c>
      <c r="E96" s="12"/>
      <c r="F96" s="626">
        <f t="shared" ref="F96" si="9">D96*E96</f>
        <v>0</v>
      </c>
    </row>
    <row r="97" spans="1:70">
      <c r="A97" s="604"/>
      <c r="B97" s="611" t="s">
        <v>2027</v>
      </c>
      <c r="C97" s="604" t="s">
        <v>1296</v>
      </c>
      <c r="D97" s="605">
        <v>32</v>
      </c>
      <c r="E97" s="12"/>
      <c r="F97" s="626">
        <f t="shared" ref="F97:F99" si="10">D97*E97</f>
        <v>0</v>
      </c>
    </row>
    <row r="98" spans="1:70">
      <c r="A98" s="604"/>
      <c r="B98" s="611" t="s">
        <v>2028</v>
      </c>
      <c r="C98" s="604" t="s">
        <v>1296</v>
      </c>
      <c r="D98" s="605">
        <v>6</v>
      </c>
      <c r="E98" s="12"/>
      <c r="F98" s="626">
        <f t="shared" si="10"/>
        <v>0</v>
      </c>
    </row>
    <row r="99" spans="1:70">
      <c r="A99" s="604"/>
      <c r="B99" s="611" t="s">
        <v>2029</v>
      </c>
      <c r="C99" s="604" t="s">
        <v>1296</v>
      </c>
      <c r="D99" s="605">
        <v>22</v>
      </c>
      <c r="E99" s="12"/>
      <c r="F99" s="626">
        <f t="shared" si="10"/>
        <v>0</v>
      </c>
    </row>
    <row r="100" spans="1:70">
      <c r="A100" s="604"/>
      <c r="B100" s="611"/>
      <c r="C100" s="604"/>
      <c r="D100" s="605"/>
      <c r="E100" s="613"/>
    </row>
    <row r="101" spans="1:70">
      <c r="A101" s="981" t="s">
        <v>1297</v>
      </c>
      <c r="B101" s="982" t="s">
        <v>1298</v>
      </c>
      <c r="C101" s="604"/>
      <c r="D101" s="605"/>
      <c r="E101" s="613"/>
    </row>
    <row r="102" spans="1:70" ht="20.25" customHeight="1">
      <c r="A102" s="981"/>
      <c r="B102" s="982"/>
      <c r="C102" s="604"/>
      <c r="D102" s="605"/>
      <c r="E102" s="613"/>
    </row>
    <row r="103" spans="1:70">
      <c r="A103" s="604"/>
      <c r="B103" s="611" t="s">
        <v>2030</v>
      </c>
      <c r="C103" s="604" t="s">
        <v>1283</v>
      </c>
      <c r="D103" s="605">
        <v>6</v>
      </c>
      <c r="E103" s="12"/>
      <c r="F103" s="626">
        <f t="shared" ref="F103" si="11">D103*E103</f>
        <v>0</v>
      </c>
    </row>
    <row r="104" spans="1:70">
      <c r="A104" s="604"/>
      <c r="B104" s="611" t="s">
        <v>2031</v>
      </c>
      <c r="C104" s="604" t="s">
        <v>1283</v>
      </c>
      <c r="D104" s="605">
        <v>12</v>
      </c>
      <c r="E104" s="12"/>
      <c r="F104" s="626">
        <f t="shared" ref="F104:F106" si="12">D104*E104</f>
        <v>0</v>
      </c>
    </row>
    <row r="105" spans="1:70">
      <c r="A105" s="604"/>
      <c r="B105" s="611" t="s">
        <v>2032</v>
      </c>
      <c r="C105" s="604" t="s">
        <v>1283</v>
      </c>
      <c r="D105" s="605">
        <v>6</v>
      </c>
      <c r="E105" s="12"/>
      <c r="F105" s="626">
        <f t="shared" si="12"/>
        <v>0</v>
      </c>
    </row>
    <row r="106" spans="1:70">
      <c r="A106" s="604"/>
      <c r="B106" s="611" t="s">
        <v>2033</v>
      </c>
      <c r="C106" s="604" t="s">
        <v>1283</v>
      </c>
      <c r="D106" s="605">
        <v>16</v>
      </c>
      <c r="E106" s="12"/>
      <c r="F106" s="626">
        <f t="shared" si="12"/>
        <v>0</v>
      </c>
    </row>
    <row r="107" spans="1:70">
      <c r="A107" s="604"/>
      <c r="B107" s="611"/>
      <c r="C107" s="604"/>
      <c r="D107" s="605"/>
      <c r="E107" s="613"/>
    </row>
    <row r="108" spans="1:70" s="632" customFormat="1" ht="15.4">
      <c r="A108" s="630" t="s">
        <v>1299</v>
      </c>
      <c r="B108" s="598" t="s">
        <v>1300</v>
      </c>
      <c r="C108" s="629" t="s">
        <v>1283</v>
      </c>
      <c r="D108" s="631">
        <v>4</v>
      </c>
      <c r="E108" s="12"/>
      <c r="F108" s="626">
        <f t="shared" ref="F108" si="13">D108*E108</f>
        <v>0</v>
      </c>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spans="1:70">
      <c r="A109" s="604"/>
      <c r="B109" s="611"/>
      <c r="C109" s="604"/>
      <c r="D109" s="605"/>
      <c r="E109" s="613"/>
    </row>
    <row r="110" spans="1:70" ht="61.5" customHeight="1">
      <c r="A110" s="604" t="s">
        <v>1301</v>
      </c>
      <c r="B110" s="611" t="s">
        <v>1302</v>
      </c>
      <c r="C110" s="604"/>
      <c r="D110" s="605"/>
      <c r="E110" s="613"/>
    </row>
    <row r="111" spans="1:70">
      <c r="A111" s="611"/>
      <c r="B111" s="611" t="s">
        <v>2034</v>
      </c>
      <c r="C111" s="604" t="s">
        <v>1283</v>
      </c>
      <c r="D111" s="605">
        <v>5</v>
      </c>
      <c r="E111" s="12"/>
      <c r="F111" s="626">
        <f t="shared" ref="F111" si="14">D111*E111</f>
        <v>0</v>
      </c>
    </row>
    <row r="112" spans="1:70">
      <c r="A112" s="611"/>
      <c r="B112" s="611" t="s">
        <v>2035</v>
      </c>
      <c r="C112" s="604" t="s">
        <v>1283</v>
      </c>
      <c r="D112" s="605">
        <v>10</v>
      </c>
      <c r="E112" s="12"/>
      <c r="F112" s="626">
        <f t="shared" ref="F112:F119" si="15">D112*E112</f>
        <v>0</v>
      </c>
    </row>
    <row r="113" spans="1:6">
      <c r="A113" s="611"/>
      <c r="B113" s="611" t="s">
        <v>2036</v>
      </c>
      <c r="C113" s="604" t="s">
        <v>1283</v>
      </c>
      <c r="D113" s="605">
        <v>9</v>
      </c>
      <c r="E113" s="12"/>
      <c r="F113" s="626">
        <f t="shared" si="15"/>
        <v>0</v>
      </c>
    </row>
    <row r="114" spans="1:6">
      <c r="A114" s="611"/>
      <c r="B114" s="611" t="s">
        <v>2037</v>
      </c>
      <c r="C114" s="604" t="s">
        <v>1283</v>
      </c>
      <c r="D114" s="605">
        <v>9</v>
      </c>
      <c r="E114" s="12"/>
      <c r="F114" s="626">
        <f t="shared" si="15"/>
        <v>0</v>
      </c>
    </row>
    <row r="115" spans="1:6">
      <c r="A115" s="611"/>
      <c r="B115" s="611" t="s">
        <v>2038</v>
      </c>
      <c r="C115" s="604" t="s">
        <v>1283</v>
      </c>
      <c r="D115" s="605">
        <v>24</v>
      </c>
      <c r="E115" s="12"/>
      <c r="F115" s="626">
        <f t="shared" si="15"/>
        <v>0</v>
      </c>
    </row>
    <row r="116" spans="1:6">
      <c r="A116" s="611"/>
      <c r="B116" s="611" t="s">
        <v>2039</v>
      </c>
      <c r="C116" s="604" t="s">
        <v>1283</v>
      </c>
      <c r="D116" s="605">
        <v>8</v>
      </c>
      <c r="E116" s="12"/>
      <c r="F116" s="626">
        <f t="shared" si="15"/>
        <v>0</v>
      </c>
    </row>
    <row r="117" spans="1:6">
      <c r="A117" s="611"/>
      <c r="B117" s="611" t="s">
        <v>2040</v>
      </c>
      <c r="C117" s="604" t="s">
        <v>1283</v>
      </c>
      <c r="D117" s="605">
        <v>7</v>
      </c>
      <c r="E117" s="12"/>
      <c r="F117" s="626">
        <f t="shared" si="15"/>
        <v>0</v>
      </c>
    </row>
    <row r="118" spans="1:6">
      <c r="A118" s="604"/>
      <c r="B118" s="611" t="s">
        <v>2041</v>
      </c>
      <c r="C118" s="604" t="s">
        <v>1283</v>
      </c>
      <c r="D118" s="605">
        <v>1</v>
      </c>
      <c r="E118" s="12"/>
      <c r="F118" s="626">
        <f t="shared" si="15"/>
        <v>0</v>
      </c>
    </row>
    <row r="119" spans="1:6">
      <c r="A119" s="604"/>
      <c r="B119" s="611" t="s">
        <v>2042</v>
      </c>
      <c r="C119" s="604" t="s">
        <v>1283</v>
      </c>
      <c r="D119" s="605">
        <v>6</v>
      </c>
      <c r="E119" s="12"/>
      <c r="F119" s="626">
        <f t="shared" si="15"/>
        <v>0</v>
      </c>
    </row>
    <row r="120" spans="1:6">
      <c r="A120" s="604"/>
      <c r="B120" s="633"/>
      <c r="C120" s="604"/>
      <c r="D120" s="605"/>
      <c r="E120" s="613"/>
    </row>
    <row r="121" spans="1:6">
      <c r="A121" s="981" t="s">
        <v>139</v>
      </c>
      <c r="B121" s="982" t="s">
        <v>1303</v>
      </c>
      <c r="E121" s="613"/>
    </row>
    <row r="122" spans="1:6">
      <c r="A122" s="981"/>
      <c r="B122" s="982"/>
      <c r="C122" s="604" t="s">
        <v>1016</v>
      </c>
      <c r="D122" s="605">
        <f>SUM(D111:D119)</f>
        <v>79</v>
      </c>
      <c r="E122" s="12"/>
      <c r="F122" s="626">
        <f t="shared" ref="F122" si="16">D122*E122</f>
        <v>0</v>
      </c>
    </row>
    <row r="123" spans="1:6">
      <c r="A123" s="604"/>
      <c r="B123" s="611"/>
      <c r="C123" s="604"/>
      <c r="D123" s="605"/>
      <c r="E123" s="613"/>
    </row>
    <row r="124" spans="1:6">
      <c r="A124" s="981" t="s">
        <v>1304</v>
      </c>
      <c r="B124" s="982" t="s">
        <v>1305</v>
      </c>
      <c r="E124" s="613"/>
    </row>
    <row r="125" spans="1:6">
      <c r="A125" s="981"/>
      <c r="B125" s="982"/>
      <c r="C125" s="604" t="s">
        <v>1016</v>
      </c>
      <c r="D125" s="605">
        <f>SUM(D111:D119)</f>
        <v>79</v>
      </c>
      <c r="E125" s="12"/>
      <c r="F125" s="626">
        <f t="shared" ref="F125" si="17">D125*E125</f>
        <v>0</v>
      </c>
    </row>
    <row r="126" spans="1:6">
      <c r="A126" s="604"/>
      <c r="B126" s="611"/>
      <c r="E126" s="613"/>
    </row>
    <row r="127" spans="1:6">
      <c r="A127" s="981" t="s">
        <v>1306</v>
      </c>
      <c r="B127" s="633" t="s">
        <v>1307</v>
      </c>
      <c r="E127" s="613"/>
    </row>
    <row r="128" spans="1:6">
      <c r="A128" s="981"/>
      <c r="B128" s="633" t="s">
        <v>1308</v>
      </c>
      <c r="C128" s="604" t="s">
        <v>1309</v>
      </c>
      <c r="D128" s="605">
        <f>D122*2</f>
        <v>158</v>
      </c>
      <c r="E128" s="12"/>
      <c r="F128" s="626">
        <f t="shared" ref="F128" si="18">D128*E128</f>
        <v>0</v>
      </c>
    </row>
    <row r="129" spans="1:7">
      <c r="E129" s="613"/>
    </row>
    <row r="130" spans="1:7">
      <c r="A130" s="604" t="s">
        <v>1310</v>
      </c>
      <c r="B130" s="611" t="s">
        <v>1311</v>
      </c>
      <c r="E130" s="613"/>
      <c r="G130" s="611"/>
    </row>
    <row r="131" spans="1:7" ht="15" customHeight="1">
      <c r="A131" s="611"/>
      <c r="B131" s="611" t="s">
        <v>2043</v>
      </c>
      <c r="C131" s="604" t="s">
        <v>1283</v>
      </c>
      <c r="D131" s="605">
        <f>D122*4</f>
        <v>316</v>
      </c>
      <c r="E131" s="12"/>
      <c r="F131" s="626">
        <f t="shared" ref="F131" si="19">D131*E131</f>
        <v>0</v>
      </c>
      <c r="G131" s="611"/>
    </row>
    <row r="132" spans="1:7">
      <c r="A132" s="611"/>
      <c r="B132" s="611" t="s">
        <v>2044</v>
      </c>
      <c r="C132" s="604" t="s">
        <v>1283</v>
      </c>
      <c r="D132" s="605">
        <v>2</v>
      </c>
      <c r="E132" s="12"/>
      <c r="F132" s="626">
        <f t="shared" ref="F132:F138" si="20">D132*E132</f>
        <v>0</v>
      </c>
      <c r="G132" s="634"/>
    </row>
    <row r="133" spans="1:7">
      <c r="A133" s="604"/>
      <c r="B133" s="611" t="s">
        <v>2045</v>
      </c>
      <c r="C133" s="604" t="s">
        <v>1283</v>
      </c>
      <c r="D133" s="605">
        <v>17</v>
      </c>
      <c r="E133" s="12"/>
      <c r="F133" s="626">
        <f t="shared" si="20"/>
        <v>0</v>
      </c>
      <c r="G133" s="634"/>
    </row>
    <row r="134" spans="1:7">
      <c r="A134" s="604"/>
      <c r="B134" s="611" t="s">
        <v>2046</v>
      </c>
      <c r="C134" s="604" t="s">
        <v>1283</v>
      </c>
      <c r="D134" s="605">
        <v>4</v>
      </c>
      <c r="E134" s="12"/>
      <c r="F134" s="626">
        <f t="shared" si="20"/>
        <v>0</v>
      </c>
      <c r="G134" s="634"/>
    </row>
    <row r="135" spans="1:7">
      <c r="A135" s="604"/>
      <c r="B135" s="611" t="s">
        <v>2047</v>
      </c>
      <c r="C135" s="604" t="s">
        <v>1283</v>
      </c>
      <c r="D135" s="605">
        <v>2</v>
      </c>
      <c r="E135" s="12"/>
      <c r="F135" s="626">
        <f t="shared" si="20"/>
        <v>0</v>
      </c>
      <c r="G135" s="634"/>
    </row>
    <row r="136" spans="1:7">
      <c r="A136" s="604"/>
      <c r="B136" s="611" t="s">
        <v>2048</v>
      </c>
      <c r="C136" s="604" t="s">
        <v>1283</v>
      </c>
      <c r="D136" s="605">
        <v>10</v>
      </c>
      <c r="E136" s="12"/>
      <c r="F136" s="626">
        <f t="shared" si="20"/>
        <v>0</v>
      </c>
      <c r="G136" s="634"/>
    </row>
    <row r="137" spans="1:7">
      <c r="A137" s="604"/>
      <c r="B137" s="611" t="s">
        <v>2049</v>
      </c>
      <c r="C137" s="604" t="s">
        <v>1283</v>
      </c>
      <c r="D137" s="605">
        <v>25</v>
      </c>
      <c r="E137" s="12"/>
      <c r="F137" s="626">
        <f t="shared" si="20"/>
        <v>0</v>
      </c>
      <c r="G137" s="634"/>
    </row>
    <row r="138" spans="1:7">
      <c r="A138" s="604"/>
      <c r="B138" s="611" t="s">
        <v>2050</v>
      </c>
      <c r="C138" s="604" t="s">
        <v>1283</v>
      </c>
      <c r="D138" s="605">
        <v>13</v>
      </c>
      <c r="E138" s="12"/>
      <c r="F138" s="626">
        <f t="shared" si="20"/>
        <v>0</v>
      </c>
      <c r="G138" s="634"/>
    </row>
    <row r="139" spans="1:7">
      <c r="A139" s="604"/>
      <c r="B139" s="611"/>
      <c r="C139" s="604"/>
      <c r="D139" s="605"/>
      <c r="E139" s="613"/>
      <c r="G139" s="634"/>
    </row>
    <row r="140" spans="1:7">
      <c r="A140" s="604" t="s">
        <v>1312</v>
      </c>
      <c r="B140" s="611" t="s">
        <v>1313</v>
      </c>
      <c r="C140" s="604"/>
      <c r="D140" s="605"/>
      <c r="E140" s="613"/>
      <c r="G140" s="634"/>
    </row>
    <row r="141" spans="1:7">
      <c r="A141" s="598"/>
      <c r="B141" s="633" t="s">
        <v>2051</v>
      </c>
      <c r="C141" s="604" t="s">
        <v>1296</v>
      </c>
      <c r="D141" s="605">
        <v>1570</v>
      </c>
      <c r="E141" s="12"/>
      <c r="F141" s="626">
        <f t="shared" ref="F141" si="21">D141*E141</f>
        <v>0</v>
      </c>
      <c r="G141" s="635"/>
    </row>
    <row r="142" spans="1:7">
      <c r="A142" s="604"/>
      <c r="B142" s="633" t="s">
        <v>2052</v>
      </c>
      <c r="C142" s="604" t="s">
        <v>1296</v>
      </c>
      <c r="D142" s="605">
        <v>7</v>
      </c>
      <c r="E142" s="12"/>
      <c r="F142" s="626">
        <f t="shared" ref="F142:F150" si="22">D142*E142</f>
        <v>0</v>
      </c>
      <c r="G142" s="634"/>
    </row>
    <row r="143" spans="1:7">
      <c r="A143" s="604"/>
      <c r="B143" s="633" t="s">
        <v>2053</v>
      </c>
      <c r="C143" s="604" t="s">
        <v>1296</v>
      </c>
      <c r="D143" s="605">
        <v>81</v>
      </c>
      <c r="E143" s="12"/>
      <c r="F143" s="626">
        <f t="shared" si="22"/>
        <v>0</v>
      </c>
      <c r="G143" s="634"/>
    </row>
    <row r="144" spans="1:7">
      <c r="A144" s="604"/>
      <c r="B144" s="633" t="s">
        <v>2054</v>
      </c>
      <c r="C144" s="604" t="s">
        <v>1296</v>
      </c>
      <c r="D144" s="605">
        <v>17</v>
      </c>
      <c r="E144" s="12"/>
      <c r="F144" s="626">
        <f t="shared" si="22"/>
        <v>0</v>
      </c>
      <c r="G144" s="634"/>
    </row>
    <row r="145" spans="1:9">
      <c r="A145" s="604"/>
      <c r="B145" s="633" t="s">
        <v>2055</v>
      </c>
      <c r="C145" s="604" t="s">
        <v>1296</v>
      </c>
      <c r="D145" s="605">
        <v>9</v>
      </c>
      <c r="E145" s="12"/>
      <c r="F145" s="626">
        <f t="shared" si="22"/>
        <v>0</v>
      </c>
      <c r="G145" s="634"/>
    </row>
    <row r="146" spans="1:9" ht="15.75" customHeight="1">
      <c r="A146" s="604"/>
      <c r="B146" s="633" t="s">
        <v>2056</v>
      </c>
      <c r="C146" s="604" t="s">
        <v>1296</v>
      </c>
      <c r="D146" s="605">
        <v>47</v>
      </c>
      <c r="E146" s="12"/>
      <c r="F146" s="626">
        <f t="shared" si="22"/>
        <v>0</v>
      </c>
      <c r="G146" s="634"/>
    </row>
    <row r="147" spans="1:9">
      <c r="A147" s="604"/>
      <c r="B147" s="633" t="s">
        <v>2057</v>
      </c>
      <c r="C147" s="604" t="s">
        <v>1296</v>
      </c>
      <c r="D147" s="605">
        <v>125</v>
      </c>
      <c r="E147" s="12"/>
      <c r="F147" s="626">
        <f t="shared" si="22"/>
        <v>0</v>
      </c>
      <c r="G147" s="634"/>
    </row>
    <row r="148" spans="1:9">
      <c r="A148" s="604"/>
      <c r="B148" s="633" t="s">
        <v>2058</v>
      </c>
      <c r="C148" s="604" t="s">
        <v>1296</v>
      </c>
      <c r="D148" s="605">
        <v>61</v>
      </c>
      <c r="E148" s="12"/>
      <c r="F148" s="626">
        <f t="shared" si="22"/>
        <v>0</v>
      </c>
      <c r="G148" s="634"/>
    </row>
    <row r="149" spans="1:9">
      <c r="A149" s="604"/>
      <c r="B149" s="633"/>
      <c r="C149" s="604"/>
      <c r="D149" s="605"/>
      <c r="E149" s="613"/>
      <c r="G149" s="634"/>
      <c r="I149" s="636"/>
    </row>
    <row r="150" spans="1:9">
      <c r="A150" s="604" t="s">
        <v>1314</v>
      </c>
      <c r="B150" s="611" t="s">
        <v>1315</v>
      </c>
      <c r="C150" s="604" t="s">
        <v>1016</v>
      </c>
      <c r="D150" s="605">
        <v>1</v>
      </c>
      <c r="E150" s="12"/>
      <c r="F150" s="626">
        <f t="shared" si="22"/>
        <v>0</v>
      </c>
      <c r="G150" s="637"/>
    </row>
    <row r="151" spans="1:9">
      <c r="A151" s="604"/>
      <c r="B151" s="633"/>
      <c r="C151" s="604"/>
      <c r="D151" s="605"/>
      <c r="E151" s="613"/>
      <c r="G151" s="634"/>
      <c r="I151" s="636"/>
    </row>
    <row r="152" spans="1:9" ht="15" customHeight="1">
      <c r="A152" s="981" t="s">
        <v>1316</v>
      </c>
      <c r="B152" s="982" t="s">
        <v>1317</v>
      </c>
      <c r="C152" s="604"/>
      <c r="D152" s="605"/>
      <c r="E152" s="613"/>
      <c r="G152" s="604"/>
    </row>
    <row r="153" spans="1:9">
      <c r="A153" s="981"/>
      <c r="B153" s="982"/>
      <c r="C153" s="604" t="s">
        <v>1283</v>
      </c>
      <c r="D153" s="605">
        <v>2880</v>
      </c>
      <c r="E153" s="12"/>
      <c r="F153" s="626">
        <f t="shared" ref="F153" si="23">D153*E153</f>
        <v>0</v>
      </c>
      <c r="G153" s="604"/>
    </row>
    <row r="154" spans="1:9" ht="15" customHeight="1">
      <c r="A154" s="604"/>
      <c r="B154" s="611"/>
      <c r="C154" s="604"/>
      <c r="D154" s="605"/>
      <c r="E154" s="613"/>
      <c r="G154" s="604"/>
    </row>
    <row r="155" spans="1:9" ht="15" customHeight="1">
      <c r="A155" s="604" t="s">
        <v>1318</v>
      </c>
      <c r="B155" s="611" t="s">
        <v>1319</v>
      </c>
      <c r="E155" s="613"/>
      <c r="G155" s="604"/>
    </row>
    <row r="156" spans="1:9" ht="15" customHeight="1">
      <c r="A156" s="604"/>
      <c r="B156" s="611" t="s">
        <v>1320</v>
      </c>
      <c r="C156" s="604" t="s">
        <v>1016</v>
      </c>
      <c r="D156" s="605">
        <f>D122*2</f>
        <v>158</v>
      </c>
      <c r="E156" s="12"/>
      <c r="F156" s="626">
        <f t="shared" ref="F156" si="24">D156*E156</f>
        <v>0</v>
      </c>
      <c r="G156" s="604"/>
    </row>
    <row r="157" spans="1:9">
      <c r="A157" s="604"/>
      <c r="C157" s="604"/>
      <c r="D157" s="605"/>
      <c r="E157" s="613"/>
      <c r="G157" s="634"/>
    </row>
    <row r="158" spans="1:9" ht="132" customHeight="1">
      <c r="A158" s="604" t="s">
        <v>1321</v>
      </c>
      <c r="B158" s="611" t="s">
        <v>1322</v>
      </c>
      <c r="C158" s="604" t="s">
        <v>1016</v>
      </c>
      <c r="D158" s="605">
        <v>1</v>
      </c>
      <c r="E158" s="12"/>
      <c r="F158" s="626">
        <f t="shared" ref="F158" si="25">D158*E158</f>
        <v>0</v>
      </c>
      <c r="G158" s="637"/>
    </row>
    <row r="159" spans="1:9">
      <c r="B159" s="611"/>
      <c r="E159" s="613"/>
      <c r="G159" s="637"/>
    </row>
    <row r="160" spans="1:9" ht="132.75" customHeight="1">
      <c r="A160" s="604" t="s">
        <v>1323</v>
      </c>
      <c r="B160" s="611" t="s">
        <v>1324</v>
      </c>
      <c r="C160" s="604" t="s">
        <v>1016</v>
      </c>
      <c r="D160" s="605">
        <v>2</v>
      </c>
      <c r="E160" s="12"/>
      <c r="F160" s="626">
        <f t="shared" ref="F160" si="26">D160*E160</f>
        <v>0</v>
      </c>
      <c r="G160" s="637"/>
    </row>
    <row r="161" spans="1:7">
      <c r="A161" s="604"/>
      <c r="B161" s="611"/>
      <c r="C161" s="604"/>
      <c r="D161" s="605"/>
      <c r="E161" s="613"/>
      <c r="G161" s="637"/>
    </row>
    <row r="162" spans="1:7" ht="138" customHeight="1">
      <c r="A162" s="604" t="s">
        <v>1325</v>
      </c>
      <c r="B162" s="611" t="s">
        <v>1326</v>
      </c>
      <c r="C162" s="604" t="s">
        <v>1016</v>
      </c>
      <c r="D162" s="605">
        <v>1</v>
      </c>
      <c r="E162" s="12"/>
      <c r="F162" s="626">
        <f t="shared" ref="F162" si="27">D162*E162</f>
        <v>0</v>
      </c>
      <c r="G162" s="637"/>
    </row>
    <row r="163" spans="1:7">
      <c r="A163" s="604"/>
      <c r="E163" s="613"/>
      <c r="G163" s="635"/>
    </row>
    <row r="164" spans="1:7" ht="130.5" customHeight="1">
      <c r="A164" s="604" t="s">
        <v>1327</v>
      </c>
      <c r="B164" s="611" t="s">
        <v>1328</v>
      </c>
      <c r="C164" s="604" t="s">
        <v>1016</v>
      </c>
      <c r="D164" s="605">
        <v>3</v>
      </c>
      <c r="E164" s="12"/>
      <c r="F164" s="626">
        <f t="shared" ref="F164" si="28">D164*E164</f>
        <v>0</v>
      </c>
      <c r="G164" s="637"/>
    </row>
    <row r="165" spans="1:7">
      <c r="A165" s="604"/>
      <c r="B165" s="611"/>
      <c r="C165" s="604"/>
      <c r="D165" s="605"/>
      <c r="E165" s="627"/>
      <c r="F165" s="627"/>
      <c r="G165" s="637"/>
    </row>
    <row r="166" spans="1:7" ht="132.75" customHeight="1">
      <c r="A166" s="604" t="s">
        <v>1329</v>
      </c>
      <c r="B166" s="611" t="s">
        <v>1330</v>
      </c>
      <c r="C166" s="604" t="s">
        <v>1016</v>
      </c>
      <c r="D166" s="605">
        <v>1</v>
      </c>
      <c r="E166" s="12"/>
      <c r="F166" s="626">
        <f t="shared" ref="F166" si="29">D166*E166</f>
        <v>0</v>
      </c>
      <c r="G166" s="637"/>
    </row>
    <row r="167" spans="1:7">
      <c r="A167" s="604"/>
      <c r="B167" s="611"/>
      <c r="C167" s="604"/>
      <c r="D167" s="605"/>
      <c r="E167" s="627"/>
      <c r="F167" s="627"/>
      <c r="G167" s="637"/>
    </row>
    <row r="168" spans="1:7" ht="126" customHeight="1">
      <c r="A168" s="604" t="s">
        <v>1331</v>
      </c>
      <c r="B168" s="611" t="s">
        <v>1332</v>
      </c>
      <c r="C168" s="604" t="s">
        <v>1016</v>
      </c>
      <c r="D168" s="605">
        <v>1</v>
      </c>
      <c r="E168" s="12"/>
      <c r="F168" s="626">
        <f t="shared" ref="F168" si="30">D168*E168</f>
        <v>0</v>
      </c>
      <c r="G168" s="637"/>
    </row>
    <row r="169" spans="1:7">
      <c r="B169" s="611"/>
      <c r="E169" s="613"/>
      <c r="G169" s="637"/>
    </row>
    <row r="170" spans="1:7" ht="30">
      <c r="A170" s="604" t="s">
        <v>1333</v>
      </c>
      <c r="B170" s="611" t="s">
        <v>1334</v>
      </c>
      <c r="C170" s="604" t="s">
        <v>1016</v>
      </c>
      <c r="D170" s="605">
        <v>1</v>
      </c>
      <c r="E170" s="12"/>
      <c r="F170" s="626">
        <f t="shared" ref="F170" si="31">D170*E170</f>
        <v>0</v>
      </c>
      <c r="G170" s="637"/>
    </row>
    <row r="171" spans="1:7">
      <c r="A171" s="604"/>
      <c r="E171" s="613"/>
      <c r="G171" s="635"/>
    </row>
    <row r="172" spans="1:7" ht="30">
      <c r="A172" s="604" t="s">
        <v>1335</v>
      </c>
      <c r="B172" s="611" t="s">
        <v>1336</v>
      </c>
      <c r="C172" s="604" t="s">
        <v>1016</v>
      </c>
      <c r="D172" s="605">
        <v>2</v>
      </c>
      <c r="E172" s="12"/>
      <c r="F172" s="626">
        <f t="shared" ref="F172" si="32">D172*E172</f>
        <v>0</v>
      </c>
      <c r="G172" s="637"/>
    </row>
    <row r="173" spans="1:7">
      <c r="A173" s="604"/>
      <c r="E173" s="613"/>
      <c r="G173" s="635"/>
    </row>
    <row r="174" spans="1:7" ht="30">
      <c r="A174" s="604" t="s">
        <v>1337</v>
      </c>
      <c r="B174" s="611" t="s">
        <v>1338</v>
      </c>
      <c r="C174" s="604" t="s">
        <v>1016</v>
      </c>
      <c r="D174" s="605">
        <v>2</v>
      </c>
      <c r="E174" s="12"/>
      <c r="F174" s="626">
        <f t="shared" ref="F174" si="33">D174*E174</f>
        <v>0</v>
      </c>
      <c r="G174" s="637"/>
    </row>
    <row r="175" spans="1:7">
      <c r="A175" s="604"/>
      <c r="E175" s="613"/>
      <c r="G175" s="635"/>
    </row>
    <row r="176" spans="1:7" ht="30">
      <c r="A176" s="604" t="s">
        <v>1339</v>
      </c>
      <c r="B176" s="611" t="s">
        <v>1340</v>
      </c>
      <c r="C176" s="604" t="s">
        <v>1016</v>
      </c>
      <c r="D176" s="605">
        <v>4</v>
      </c>
      <c r="E176" s="12"/>
      <c r="F176" s="626">
        <f t="shared" ref="F176" si="34">D176*E176</f>
        <v>0</v>
      </c>
      <c r="G176" s="637"/>
    </row>
    <row r="177" spans="1:7">
      <c r="A177" s="604"/>
      <c r="E177" s="613"/>
      <c r="G177" s="635"/>
    </row>
    <row r="178" spans="1:7" ht="30">
      <c r="A178" s="604" t="s">
        <v>1341</v>
      </c>
      <c r="B178" s="611" t="s">
        <v>1342</v>
      </c>
      <c r="C178" s="604" t="s">
        <v>1283</v>
      </c>
      <c r="D178" s="605">
        <v>2</v>
      </c>
      <c r="E178" s="12"/>
      <c r="F178" s="626">
        <f t="shared" ref="F178" si="35">D178*E178</f>
        <v>0</v>
      </c>
      <c r="G178" s="637"/>
    </row>
    <row r="179" spans="1:7">
      <c r="A179" s="604"/>
      <c r="E179" s="613"/>
      <c r="G179" s="635"/>
    </row>
    <row r="180" spans="1:7" ht="30">
      <c r="A180" s="604" t="s">
        <v>1343</v>
      </c>
      <c r="B180" s="611" t="s">
        <v>1344</v>
      </c>
      <c r="C180" s="604" t="s">
        <v>1016</v>
      </c>
      <c r="D180" s="605">
        <v>1</v>
      </c>
      <c r="E180" s="12"/>
      <c r="F180" s="626">
        <f t="shared" ref="F180" si="36">D180*E180</f>
        <v>0</v>
      </c>
      <c r="G180" s="637"/>
    </row>
    <row r="181" spans="1:7">
      <c r="A181" s="604"/>
      <c r="E181" s="613"/>
      <c r="G181" s="635"/>
    </row>
    <row r="182" spans="1:7" ht="30">
      <c r="A182" s="604" t="s">
        <v>1345</v>
      </c>
      <c r="B182" s="611" t="s">
        <v>1346</v>
      </c>
      <c r="C182" s="604" t="s">
        <v>1016</v>
      </c>
      <c r="D182" s="605">
        <v>2</v>
      </c>
      <c r="E182" s="12"/>
      <c r="F182" s="626">
        <f t="shared" ref="F182" si="37">D182*E182</f>
        <v>0</v>
      </c>
      <c r="G182" s="637"/>
    </row>
    <row r="183" spans="1:7">
      <c r="A183" s="604"/>
      <c r="E183" s="613"/>
      <c r="G183" s="635"/>
    </row>
    <row r="184" spans="1:7" ht="30">
      <c r="A184" s="604" t="s">
        <v>1347</v>
      </c>
      <c r="B184" s="611" t="s">
        <v>1348</v>
      </c>
      <c r="C184" s="604" t="s">
        <v>1016</v>
      </c>
      <c r="D184" s="605">
        <v>1</v>
      </c>
      <c r="E184" s="12"/>
      <c r="F184" s="626">
        <f t="shared" ref="F184" si="38">D184*E184</f>
        <v>0</v>
      </c>
      <c r="G184" s="637"/>
    </row>
    <row r="185" spans="1:7">
      <c r="A185" s="604"/>
      <c r="E185" s="613"/>
      <c r="G185" s="635"/>
    </row>
    <row r="186" spans="1:7" ht="45">
      <c r="A186" s="604" t="s">
        <v>1349</v>
      </c>
      <c r="B186" s="611" t="s">
        <v>1350</v>
      </c>
      <c r="C186" s="604" t="s">
        <v>1016</v>
      </c>
      <c r="D186" s="605">
        <v>1</v>
      </c>
      <c r="E186" s="12"/>
      <c r="F186" s="626">
        <f t="shared" ref="F186" si="39">D186*E186</f>
        <v>0</v>
      </c>
      <c r="G186" s="604"/>
    </row>
    <row r="187" spans="1:7">
      <c r="A187" s="604"/>
      <c r="E187" s="613"/>
      <c r="G187" s="604"/>
    </row>
    <row r="188" spans="1:7" ht="45">
      <c r="A188" s="604" t="s">
        <v>1351</v>
      </c>
      <c r="B188" s="611" t="s">
        <v>1352</v>
      </c>
      <c r="C188" s="604" t="s">
        <v>1016</v>
      </c>
      <c r="D188" s="605">
        <v>1</v>
      </c>
      <c r="E188" s="12"/>
      <c r="F188" s="626">
        <f t="shared" ref="F188" si="40">D188*E188</f>
        <v>0</v>
      </c>
    </row>
    <row r="189" spans="1:7">
      <c r="A189" s="604"/>
      <c r="E189" s="613"/>
    </row>
    <row r="190" spans="1:7">
      <c r="A190" s="604" t="s">
        <v>1353</v>
      </c>
      <c r="B190" s="638" t="s">
        <v>1354</v>
      </c>
      <c r="C190" s="604" t="s">
        <v>1016</v>
      </c>
      <c r="D190" s="605">
        <v>1</v>
      </c>
      <c r="E190" s="12"/>
      <c r="F190" s="626">
        <f t="shared" ref="F190" si="41">D190*E190</f>
        <v>0</v>
      </c>
    </row>
    <row r="191" spans="1:7">
      <c r="A191" s="604"/>
      <c r="E191" s="613"/>
    </row>
    <row r="192" spans="1:7" ht="45">
      <c r="A192" s="604" t="s">
        <v>1355</v>
      </c>
      <c r="B192" s="611" t="s">
        <v>1356</v>
      </c>
      <c r="C192" s="604" t="s">
        <v>1016</v>
      </c>
      <c r="D192" s="605">
        <v>1</v>
      </c>
      <c r="E192" s="12"/>
      <c r="F192" s="626">
        <f t="shared" ref="F192" si="42">D192*E192</f>
        <v>0</v>
      </c>
    </row>
    <row r="193" spans="1:9">
      <c r="B193" s="611"/>
      <c r="C193" s="604"/>
      <c r="D193" s="605"/>
      <c r="E193" s="613"/>
    </row>
    <row r="194" spans="1:9" ht="30">
      <c r="A194" s="604" t="s">
        <v>1357</v>
      </c>
      <c r="B194" s="611" t="s">
        <v>1358</v>
      </c>
      <c r="C194" s="604" t="s">
        <v>1016</v>
      </c>
      <c r="D194" s="605">
        <v>1</v>
      </c>
      <c r="E194" s="12"/>
      <c r="F194" s="626">
        <f t="shared" ref="F194" si="43">D194*E194</f>
        <v>0</v>
      </c>
      <c r="I194" s="639"/>
    </row>
    <row r="195" spans="1:9">
      <c r="A195" s="604"/>
      <c r="B195" s="611"/>
      <c r="C195" s="604"/>
      <c r="D195" s="605"/>
      <c r="E195" s="613"/>
    </row>
    <row r="196" spans="1:9">
      <c r="A196" s="604" t="s">
        <v>1359</v>
      </c>
      <c r="B196" s="611" t="s">
        <v>1360</v>
      </c>
      <c r="C196" s="604" t="s">
        <v>1016</v>
      </c>
      <c r="D196" s="605">
        <v>1</v>
      </c>
      <c r="E196" s="12"/>
      <c r="F196" s="626">
        <f t="shared" ref="F196" si="44">D196*E196</f>
        <v>0</v>
      </c>
    </row>
    <row r="197" spans="1:9">
      <c r="B197" s="611"/>
      <c r="C197" s="604"/>
      <c r="D197" s="605"/>
      <c r="E197" s="613"/>
    </row>
    <row r="198" spans="1:9" ht="30">
      <c r="A198" s="629" t="s">
        <v>1361</v>
      </c>
      <c r="B198" s="611" t="s">
        <v>1362</v>
      </c>
      <c r="C198" s="604" t="s">
        <v>1016</v>
      </c>
      <c r="D198" s="605">
        <v>1</v>
      </c>
      <c r="E198" s="12"/>
      <c r="F198" s="626">
        <f t="shared" ref="F198" si="45">D198*E198</f>
        <v>0</v>
      </c>
    </row>
    <row r="199" spans="1:9">
      <c r="A199" s="629"/>
      <c r="B199" s="611"/>
      <c r="C199" s="604"/>
      <c r="D199" s="605"/>
      <c r="E199" s="613"/>
    </row>
    <row r="200" spans="1:9">
      <c r="A200" s="629"/>
      <c r="B200" s="611"/>
      <c r="C200" s="604"/>
      <c r="D200" s="605"/>
      <c r="E200" s="613"/>
    </row>
    <row r="201" spans="1:9">
      <c r="A201" s="599" t="s">
        <v>1363</v>
      </c>
      <c r="B201" s="611"/>
      <c r="C201" s="604"/>
      <c r="D201" s="605"/>
      <c r="E201" s="613"/>
    </row>
    <row r="202" spans="1:9">
      <c r="A202" s="629"/>
      <c r="B202" s="611"/>
      <c r="C202" s="604"/>
      <c r="D202" s="605"/>
      <c r="E202" s="613"/>
    </row>
    <row r="203" spans="1:9">
      <c r="A203" s="629"/>
      <c r="B203" s="611"/>
      <c r="C203" s="604"/>
      <c r="D203" s="605"/>
      <c r="E203" s="613"/>
    </row>
    <row r="204" spans="1:9" ht="131.25" customHeight="1">
      <c r="A204" s="604" t="s">
        <v>1177</v>
      </c>
      <c r="B204" s="611" t="s">
        <v>1364</v>
      </c>
      <c r="C204" s="604"/>
      <c r="D204" s="605"/>
      <c r="E204" s="613"/>
    </row>
    <row r="205" spans="1:9">
      <c r="A205" s="629"/>
      <c r="B205" s="611" t="s">
        <v>1365</v>
      </c>
      <c r="C205" s="604" t="s">
        <v>2</v>
      </c>
      <c r="D205" s="605">
        <v>10</v>
      </c>
      <c r="E205" s="12"/>
      <c r="F205" s="626">
        <f t="shared" ref="F205" si="46">D205*E205</f>
        <v>0</v>
      </c>
    </row>
    <row r="206" spans="1:9">
      <c r="A206" s="629"/>
      <c r="B206" s="611"/>
      <c r="C206" s="604"/>
      <c r="D206" s="605"/>
      <c r="E206" s="613"/>
    </row>
    <row r="207" spans="1:9" ht="85.5" customHeight="1">
      <c r="A207" s="604" t="s">
        <v>1190</v>
      </c>
      <c r="B207" s="611" t="s">
        <v>1366</v>
      </c>
      <c r="C207" s="604" t="s">
        <v>2</v>
      </c>
      <c r="D207" s="605">
        <v>10</v>
      </c>
      <c r="E207" s="12"/>
      <c r="F207" s="626">
        <f t="shared" ref="F207" si="47">D207*E207</f>
        <v>0</v>
      </c>
    </row>
    <row r="208" spans="1:9">
      <c r="A208" s="629"/>
      <c r="B208" s="611"/>
      <c r="D208" s="631"/>
      <c r="E208" s="598"/>
      <c r="F208" s="598"/>
    </row>
    <row r="209" spans="1:6" ht="45">
      <c r="A209" s="604" t="s">
        <v>1257</v>
      </c>
      <c r="B209" s="611" t="s">
        <v>1367</v>
      </c>
      <c r="C209" s="604" t="s">
        <v>2</v>
      </c>
      <c r="D209" s="605">
        <v>2</v>
      </c>
      <c r="E209" s="12"/>
      <c r="F209" s="626">
        <f t="shared" ref="F209" si="48">D209*E209</f>
        <v>0</v>
      </c>
    </row>
    <row r="210" spans="1:6">
      <c r="B210" s="611"/>
      <c r="C210" s="604"/>
      <c r="D210" s="605"/>
      <c r="E210" s="613"/>
    </row>
    <row r="211" spans="1:6">
      <c r="B211" s="611"/>
      <c r="C211" s="604"/>
      <c r="D211" s="605"/>
      <c r="E211" s="613"/>
    </row>
    <row r="212" spans="1:6">
      <c r="A212" s="599" t="s">
        <v>1368</v>
      </c>
      <c r="B212" s="611"/>
      <c r="C212" s="604"/>
      <c r="D212" s="605"/>
      <c r="E212" s="613"/>
    </row>
    <row r="213" spans="1:6">
      <c r="B213" s="611"/>
      <c r="C213" s="604"/>
      <c r="D213" s="605"/>
      <c r="E213" s="613"/>
    </row>
    <row r="214" spans="1:6">
      <c r="A214" s="604" t="s">
        <v>1177</v>
      </c>
      <c r="B214" s="640" t="s">
        <v>1369</v>
      </c>
      <c r="C214" s="614" t="s">
        <v>1283</v>
      </c>
      <c r="D214" s="641">
        <v>1</v>
      </c>
      <c r="E214" s="12"/>
      <c r="F214" s="626">
        <f t="shared" ref="F214" si="49">D214*E214</f>
        <v>0</v>
      </c>
    </row>
    <row r="215" spans="1:6">
      <c r="A215" s="604"/>
      <c r="B215" s="640"/>
      <c r="C215" s="614"/>
      <c r="D215" s="641"/>
      <c r="E215" s="627"/>
      <c r="F215" s="627"/>
    </row>
    <row r="216" spans="1:6">
      <c r="A216" s="604" t="s">
        <v>1190</v>
      </c>
      <c r="B216" s="640" t="s">
        <v>1370</v>
      </c>
      <c r="C216" s="614" t="s">
        <v>1283</v>
      </c>
      <c r="D216" s="641">
        <v>9</v>
      </c>
      <c r="E216" s="12"/>
      <c r="F216" s="626">
        <f t="shared" ref="F216" si="50">D216*E216</f>
        <v>0</v>
      </c>
    </row>
    <row r="217" spans="1:6">
      <c r="A217" s="604"/>
      <c r="B217" s="640"/>
      <c r="C217" s="614"/>
      <c r="D217" s="641"/>
      <c r="E217" s="627"/>
      <c r="F217" s="627"/>
    </row>
    <row r="218" spans="1:6">
      <c r="A218" s="604" t="s">
        <v>1257</v>
      </c>
      <c r="B218" s="640" t="s">
        <v>1371</v>
      </c>
      <c r="C218" s="614" t="s">
        <v>1283</v>
      </c>
      <c r="D218" s="641">
        <v>16</v>
      </c>
      <c r="E218" s="12"/>
      <c r="F218" s="626">
        <f t="shared" ref="F218" si="51">D218*E218</f>
        <v>0</v>
      </c>
    </row>
    <row r="219" spans="1:6">
      <c r="A219" s="604"/>
      <c r="B219" s="640"/>
      <c r="C219" s="614"/>
      <c r="D219" s="641"/>
      <c r="E219" s="642"/>
      <c r="F219" s="643"/>
    </row>
    <row r="220" spans="1:6">
      <c r="A220" s="604" t="s">
        <v>1259</v>
      </c>
      <c r="B220" s="640" t="s">
        <v>1372</v>
      </c>
      <c r="C220" s="614" t="s">
        <v>1283</v>
      </c>
      <c r="D220" s="641">
        <v>6</v>
      </c>
      <c r="E220" s="12"/>
      <c r="F220" s="626">
        <f t="shared" ref="F220" si="52">D220*E220</f>
        <v>0</v>
      </c>
    </row>
    <row r="221" spans="1:6">
      <c r="A221" s="604"/>
      <c r="B221" s="640"/>
      <c r="C221" s="614"/>
      <c r="D221" s="641"/>
      <c r="E221" s="627"/>
      <c r="F221" s="627"/>
    </row>
    <row r="222" spans="1:6" ht="30">
      <c r="A222" s="604" t="s">
        <v>1261</v>
      </c>
      <c r="B222" s="644" t="s">
        <v>1373</v>
      </c>
      <c r="C222" s="614" t="s">
        <v>1283</v>
      </c>
      <c r="D222" s="641">
        <v>7</v>
      </c>
      <c r="E222" s="12"/>
      <c r="F222" s="626">
        <f t="shared" ref="F222" si="53">D222*E222</f>
        <v>0</v>
      </c>
    </row>
    <row r="223" spans="1:6">
      <c r="A223" s="604"/>
      <c r="B223" s="640"/>
      <c r="C223" s="614"/>
      <c r="D223" s="641"/>
      <c r="E223" s="627"/>
      <c r="F223" s="627"/>
    </row>
    <row r="224" spans="1:6" ht="30">
      <c r="A224" s="604" t="s">
        <v>1263</v>
      </c>
      <c r="B224" s="644" t="s">
        <v>1374</v>
      </c>
      <c r="C224" s="614" t="s">
        <v>1283</v>
      </c>
      <c r="D224" s="641">
        <v>5</v>
      </c>
      <c r="E224" s="12"/>
      <c r="F224" s="626">
        <f t="shared" ref="F224" si="54">D224*E224</f>
        <v>0</v>
      </c>
    </row>
    <row r="225" spans="1:6">
      <c r="A225" s="604"/>
      <c r="B225" s="640"/>
      <c r="C225" s="614"/>
      <c r="D225" s="641"/>
      <c r="E225" s="627"/>
      <c r="F225" s="627"/>
    </row>
    <row r="226" spans="1:6" ht="30">
      <c r="A226" s="604" t="s">
        <v>1281</v>
      </c>
      <c r="B226" s="644" t="s">
        <v>1375</v>
      </c>
      <c r="C226" s="614" t="s">
        <v>1283</v>
      </c>
      <c r="D226" s="641">
        <v>1</v>
      </c>
      <c r="E226" s="12"/>
      <c r="F226" s="626">
        <f t="shared" ref="F226" si="55">D226*E226</f>
        <v>0</v>
      </c>
    </row>
    <row r="227" spans="1:6">
      <c r="A227" s="604"/>
      <c r="B227" s="640"/>
      <c r="C227" s="614"/>
      <c r="D227" s="641"/>
      <c r="E227" s="627"/>
      <c r="F227" s="627"/>
    </row>
    <row r="228" spans="1:6">
      <c r="A228" s="604" t="s">
        <v>1284</v>
      </c>
      <c r="B228" s="611" t="s">
        <v>1376</v>
      </c>
      <c r="C228" s="604" t="s">
        <v>1296</v>
      </c>
      <c r="D228" s="605">
        <v>24</v>
      </c>
      <c r="E228" s="12"/>
      <c r="F228" s="626">
        <f t="shared" ref="F228" si="56">D228*E228</f>
        <v>0</v>
      </c>
    </row>
    <row r="229" spans="1:6">
      <c r="A229" s="604"/>
      <c r="B229" s="640"/>
      <c r="C229" s="614"/>
      <c r="D229" s="641"/>
      <c r="E229" s="627"/>
      <c r="F229" s="627"/>
    </row>
    <row r="230" spans="1:6">
      <c r="A230" s="604" t="s">
        <v>1286</v>
      </c>
      <c r="B230" s="611" t="s">
        <v>1377</v>
      </c>
      <c r="C230" s="604" t="s">
        <v>1296</v>
      </c>
      <c r="D230" s="605">
        <v>9</v>
      </c>
      <c r="E230" s="12"/>
      <c r="F230" s="626">
        <f t="shared" ref="F230" si="57">D230*E230</f>
        <v>0</v>
      </c>
    </row>
    <row r="231" spans="1:6">
      <c r="A231" s="604"/>
      <c r="B231" s="640"/>
      <c r="C231" s="614"/>
      <c r="D231" s="641"/>
      <c r="E231" s="627"/>
      <c r="F231" s="627"/>
    </row>
    <row r="232" spans="1:6">
      <c r="A232" s="604" t="s">
        <v>1288</v>
      </c>
      <c r="B232" s="640" t="s">
        <v>1378</v>
      </c>
      <c r="C232" s="614" t="s">
        <v>1283</v>
      </c>
      <c r="D232" s="641">
        <v>7</v>
      </c>
      <c r="E232" s="12"/>
      <c r="F232" s="626">
        <f t="shared" ref="F232" si="58">D232*E232</f>
        <v>0</v>
      </c>
    </row>
    <row r="233" spans="1:6">
      <c r="A233" s="604"/>
      <c r="B233" s="640"/>
      <c r="C233" s="614"/>
      <c r="D233" s="641"/>
      <c r="E233" s="627"/>
      <c r="F233" s="627"/>
    </row>
    <row r="234" spans="1:6">
      <c r="A234" s="604" t="s">
        <v>1290</v>
      </c>
      <c r="B234" s="640" t="s">
        <v>1379</v>
      </c>
      <c r="C234" s="614" t="s">
        <v>1283</v>
      </c>
      <c r="D234" s="641">
        <v>4</v>
      </c>
      <c r="E234" s="12"/>
      <c r="F234" s="626">
        <f t="shared" ref="F234" si="59">D234*E234</f>
        <v>0</v>
      </c>
    </row>
    <row r="235" spans="1:6">
      <c r="A235" s="604"/>
      <c r="B235" s="640"/>
      <c r="C235" s="614"/>
      <c r="D235" s="641"/>
      <c r="E235" s="627"/>
      <c r="F235" s="627"/>
    </row>
    <row r="236" spans="1:6">
      <c r="A236" s="604" t="s">
        <v>1292</v>
      </c>
      <c r="B236" s="640" t="s">
        <v>1380</v>
      </c>
      <c r="C236" s="614" t="s">
        <v>1283</v>
      </c>
      <c r="D236" s="641">
        <v>1</v>
      </c>
      <c r="E236" s="12"/>
      <c r="F236" s="626">
        <f t="shared" ref="F236" si="60">D236*E236</f>
        <v>0</v>
      </c>
    </row>
    <row r="237" spans="1:6">
      <c r="A237" s="604"/>
      <c r="B237" s="640"/>
      <c r="C237" s="614"/>
      <c r="D237" s="641"/>
      <c r="E237" s="627"/>
      <c r="F237" s="627"/>
    </row>
    <row r="238" spans="1:6" ht="30">
      <c r="A238" s="604" t="s">
        <v>1294</v>
      </c>
      <c r="B238" s="640" t="s">
        <v>1381</v>
      </c>
      <c r="C238" s="614" t="s">
        <v>1283</v>
      </c>
      <c r="D238" s="641">
        <v>11</v>
      </c>
      <c r="E238" s="12"/>
      <c r="F238" s="626">
        <f t="shared" ref="F238" si="61">D238*E238</f>
        <v>0</v>
      </c>
    </row>
    <row r="239" spans="1:6">
      <c r="A239" s="604"/>
      <c r="B239" s="640"/>
      <c r="C239" s="614"/>
      <c r="D239" s="641"/>
      <c r="E239" s="627"/>
      <c r="F239" s="627"/>
    </row>
    <row r="240" spans="1:6" ht="63" customHeight="1">
      <c r="A240" s="604" t="s">
        <v>1297</v>
      </c>
      <c r="B240" s="611" t="s">
        <v>1382</v>
      </c>
      <c r="C240" s="604" t="s">
        <v>1016</v>
      </c>
      <c r="D240" s="605">
        <v>1</v>
      </c>
      <c r="E240" s="12"/>
      <c r="F240" s="626">
        <f t="shared" ref="F240" si="62">D240*E240</f>
        <v>0</v>
      </c>
    </row>
    <row r="241" spans="1:6">
      <c r="B241" s="611"/>
      <c r="C241" s="604"/>
      <c r="D241" s="605"/>
      <c r="E241" s="613"/>
    </row>
    <row r="242" spans="1:6">
      <c r="B242" s="611"/>
      <c r="C242" s="604"/>
      <c r="D242" s="605"/>
      <c r="E242" s="613"/>
    </row>
    <row r="243" spans="1:6">
      <c r="A243" s="599" t="s">
        <v>1383</v>
      </c>
      <c r="B243" s="611"/>
      <c r="C243" s="604"/>
      <c r="D243" s="605"/>
      <c r="E243" s="613"/>
    </row>
    <row r="244" spans="1:6">
      <c r="A244" s="598"/>
      <c r="B244" s="630"/>
      <c r="C244" s="604"/>
      <c r="D244" s="605"/>
      <c r="E244" s="613"/>
    </row>
    <row r="245" spans="1:6">
      <c r="B245" s="611"/>
      <c r="C245" s="604"/>
      <c r="D245" s="605"/>
      <c r="E245" s="613"/>
    </row>
    <row r="246" spans="1:6">
      <c r="A246" s="981" t="s">
        <v>1177</v>
      </c>
      <c r="B246" s="982" t="s">
        <v>1384</v>
      </c>
      <c r="C246" s="604"/>
      <c r="D246" s="605"/>
      <c r="E246" s="613"/>
    </row>
    <row r="247" spans="1:6" ht="42" customHeight="1">
      <c r="A247" s="981"/>
      <c r="B247" s="982"/>
      <c r="C247" s="604"/>
      <c r="D247" s="605"/>
      <c r="E247" s="627"/>
      <c r="F247" s="627"/>
    </row>
    <row r="248" spans="1:6">
      <c r="B248" s="611" t="s">
        <v>2059</v>
      </c>
      <c r="C248" s="604" t="s">
        <v>1016</v>
      </c>
      <c r="D248" s="605">
        <v>3</v>
      </c>
      <c r="E248" s="12"/>
      <c r="F248" s="626">
        <f t="shared" ref="F248" si="63">D248*E248</f>
        <v>0</v>
      </c>
    </row>
    <row r="249" spans="1:6">
      <c r="B249" s="611" t="s">
        <v>2060</v>
      </c>
      <c r="C249" s="604" t="s">
        <v>1016</v>
      </c>
      <c r="D249" s="605">
        <v>1</v>
      </c>
      <c r="E249" s="12"/>
      <c r="F249" s="626">
        <f t="shared" ref="F249:F268" si="64">D249*E249</f>
        <v>0</v>
      </c>
    </row>
    <row r="250" spans="1:6">
      <c r="B250" s="611" t="s">
        <v>2061</v>
      </c>
      <c r="C250" s="604" t="s">
        <v>1016</v>
      </c>
      <c r="D250" s="605">
        <v>3</v>
      </c>
      <c r="E250" s="12"/>
      <c r="F250" s="626">
        <f t="shared" si="64"/>
        <v>0</v>
      </c>
    </row>
    <row r="251" spans="1:6">
      <c r="B251" s="611" t="s">
        <v>2062</v>
      </c>
      <c r="C251" s="604" t="s">
        <v>1016</v>
      </c>
      <c r="D251" s="605">
        <v>3</v>
      </c>
      <c r="E251" s="12"/>
      <c r="F251" s="626">
        <f t="shared" si="64"/>
        <v>0</v>
      </c>
    </row>
    <row r="252" spans="1:6">
      <c r="B252" s="611" t="s">
        <v>2063</v>
      </c>
      <c r="C252" s="604" t="s">
        <v>1016</v>
      </c>
      <c r="D252" s="605">
        <v>2</v>
      </c>
      <c r="E252" s="12"/>
      <c r="F252" s="626">
        <f t="shared" si="64"/>
        <v>0</v>
      </c>
    </row>
    <row r="253" spans="1:6">
      <c r="B253" s="611" t="s">
        <v>2064</v>
      </c>
      <c r="C253" s="604" t="s">
        <v>1016</v>
      </c>
      <c r="D253" s="605">
        <v>1</v>
      </c>
      <c r="E253" s="12"/>
      <c r="F253" s="626">
        <f t="shared" si="64"/>
        <v>0</v>
      </c>
    </row>
    <row r="254" spans="1:6">
      <c r="B254" s="611" t="s">
        <v>2065</v>
      </c>
      <c r="C254" s="604" t="s">
        <v>1016</v>
      </c>
      <c r="D254" s="605">
        <v>2</v>
      </c>
      <c r="E254" s="12"/>
      <c r="F254" s="626">
        <f t="shared" si="64"/>
        <v>0</v>
      </c>
    </row>
    <row r="255" spans="1:6">
      <c r="B255" s="611" t="s">
        <v>2066</v>
      </c>
      <c r="C255" s="604" t="s">
        <v>1016</v>
      </c>
      <c r="D255" s="605">
        <v>2</v>
      </c>
      <c r="E255" s="12"/>
      <c r="F255" s="626">
        <f t="shared" si="64"/>
        <v>0</v>
      </c>
    </row>
    <row r="256" spans="1:6">
      <c r="B256" s="611" t="s">
        <v>2067</v>
      </c>
      <c r="C256" s="604" t="s">
        <v>1016</v>
      </c>
      <c r="D256" s="605">
        <v>2</v>
      </c>
      <c r="E256" s="12"/>
      <c r="F256" s="626">
        <f t="shared" si="64"/>
        <v>0</v>
      </c>
    </row>
    <row r="257" spans="1:12">
      <c r="B257" s="611" t="s">
        <v>2068</v>
      </c>
      <c r="C257" s="604" t="s">
        <v>1016</v>
      </c>
      <c r="D257" s="605">
        <v>1</v>
      </c>
      <c r="E257" s="12"/>
      <c r="F257" s="626">
        <f t="shared" si="64"/>
        <v>0</v>
      </c>
    </row>
    <row r="258" spans="1:12">
      <c r="B258" s="611" t="s">
        <v>2069</v>
      </c>
      <c r="C258" s="604" t="s">
        <v>1016</v>
      </c>
      <c r="D258" s="605">
        <v>7</v>
      </c>
      <c r="E258" s="12"/>
      <c r="F258" s="626">
        <f t="shared" si="64"/>
        <v>0</v>
      </c>
    </row>
    <row r="259" spans="1:12">
      <c r="B259" s="611" t="s">
        <v>2070</v>
      </c>
      <c r="C259" s="604" t="s">
        <v>1016</v>
      </c>
      <c r="D259" s="605">
        <v>2</v>
      </c>
      <c r="E259" s="12"/>
      <c r="F259" s="626">
        <f t="shared" si="64"/>
        <v>0</v>
      </c>
    </row>
    <row r="260" spans="1:12">
      <c r="B260" s="611" t="s">
        <v>2071</v>
      </c>
      <c r="C260" s="604" t="s">
        <v>1016</v>
      </c>
      <c r="D260" s="605">
        <v>1</v>
      </c>
      <c r="E260" s="12"/>
      <c r="F260" s="626">
        <f t="shared" si="64"/>
        <v>0</v>
      </c>
    </row>
    <row r="261" spans="1:12">
      <c r="B261" s="611" t="s">
        <v>2072</v>
      </c>
      <c r="C261" s="604" t="s">
        <v>1016</v>
      </c>
      <c r="D261" s="605">
        <v>1</v>
      </c>
      <c r="E261" s="12"/>
      <c r="F261" s="626">
        <f t="shared" si="64"/>
        <v>0</v>
      </c>
    </row>
    <row r="262" spans="1:12">
      <c r="B262" s="611" t="s">
        <v>2073</v>
      </c>
      <c r="C262" s="604" t="s">
        <v>1016</v>
      </c>
      <c r="D262" s="605">
        <v>3</v>
      </c>
      <c r="E262" s="12"/>
      <c r="F262" s="626">
        <f t="shared" si="64"/>
        <v>0</v>
      </c>
      <c r="I262" s="636"/>
      <c r="L262" s="636"/>
    </row>
    <row r="263" spans="1:12">
      <c r="B263" s="611" t="s">
        <v>2074</v>
      </c>
      <c r="C263" s="604" t="s">
        <v>1016</v>
      </c>
      <c r="D263" s="605">
        <v>2</v>
      </c>
      <c r="E263" s="12"/>
      <c r="F263" s="626">
        <f t="shared" si="64"/>
        <v>0</v>
      </c>
    </row>
    <row r="264" spans="1:12">
      <c r="B264" s="611" t="s">
        <v>2075</v>
      </c>
      <c r="C264" s="604" t="s">
        <v>1016</v>
      </c>
      <c r="D264" s="605">
        <v>1</v>
      </c>
      <c r="E264" s="12"/>
      <c r="F264" s="626">
        <f t="shared" si="64"/>
        <v>0</v>
      </c>
    </row>
    <row r="265" spans="1:12">
      <c r="B265" s="611" t="s">
        <v>2076</v>
      </c>
      <c r="C265" s="604" t="s">
        <v>1016</v>
      </c>
      <c r="D265" s="605">
        <v>1</v>
      </c>
      <c r="E265" s="12"/>
      <c r="F265" s="626">
        <f t="shared" si="64"/>
        <v>0</v>
      </c>
    </row>
    <row r="266" spans="1:12">
      <c r="B266" s="611" t="s">
        <v>2077</v>
      </c>
      <c r="C266" s="604" t="s">
        <v>1016</v>
      </c>
      <c r="D266" s="605">
        <v>1</v>
      </c>
      <c r="E266" s="12"/>
      <c r="F266" s="626">
        <f t="shared" si="64"/>
        <v>0</v>
      </c>
    </row>
    <row r="267" spans="1:12">
      <c r="B267" s="611" t="s">
        <v>2078</v>
      </c>
      <c r="C267" s="604" t="s">
        <v>1016</v>
      </c>
      <c r="D267" s="605">
        <v>1</v>
      </c>
      <c r="E267" s="12"/>
      <c r="F267" s="626">
        <f t="shared" si="64"/>
        <v>0</v>
      </c>
    </row>
    <row r="268" spans="1:12">
      <c r="B268" s="611" t="s">
        <v>2079</v>
      </c>
      <c r="C268" s="604" t="s">
        <v>1016</v>
      </c>
      <c r="D268" s="605">
        <v>1</v>
      </c>
      <c r="E268" s="12"/>
      <c r="F268" s="626">
        <f t="shared" si="64"/>
        <v>0</v>
      </c>
    </row>
    <row r="269" spans="1:12">
      <c r="B269" s="611"/>
      <c r="C269" s="604"/>
      <c r="D269" s="605"/>
      <c r="E269" s="613"/>
    </row>
    <row r="270" spans="1:12" ht="15" customHeight="1">
      <c r="A270" s="981" t="s">
        <v>1190</v>
      </c>
      <c r="B270" s="982" t="s">
        <v>2088</v>
      </c>
      <c r="C270" s="604"/>
      <c r="D270" s="605"/>
      <c r="E270" s="613"/>
    </row>
    <row r="271" spans="1:12" ht="127.5" customHeight="1">
      <c r="A271" s="981"/>
      <c r="B271" s="982"/>
      <c r="C271" s="604" t="s">
        <v>1016</v>
      </c>
      <c r="D271" s="605">
        <v>1</v>
      </c>
      <c r="E271" s="12"/>
      <c r="F271" s="626">
        <f t="shared" ref="F271" si="65">D271*E271</f>
        <v>0</v>
      </c>
    </row>
    <row r="272" spans="1:12">
      <c r="B272" s="611"/>
      <c r="C272" s="604"/>
      <c r="D272" s="605"/>
      <c r="E272" s="613"/>
    </row>
    <row r="273" spans="1:6" ht="111.75" customHeight="1">
      <c r="A273" s="645" t="s">
        <v>1257</v>
      </c>
      <c r="B273" s="601" t="s">
        <v>1385</v>
      </c>
      <c r="D273" s="631"/>
      <c r="E273" s="613"/>
    </row>
    <row r="274" spans="1:6">
      <c r="A274" s="646"/>
      <c r="B274" s="647" t="s">
        <v>2080</v>
      </c>
      <c r="C274" s="629" t="s">
        <v>1296</v>
      </c>
      <c r="D274" s="631">
        <v>80</v>
      </c>
      <c r="E274" s="12"/>
      <c r="F274" s="626">
        <f t="shared" ref="F274" si="66">D274*E274</f>
        <v>0</v>
      </c>
    </row>
    <row r="275" spans="1:6">
      <c r="A275" s="646"/>
      <c r="B275" s="647" t="s">
        <v>2081</v>
      </c>
      <c r="C275" s="629" t="s">
        <v>1296</v>
      </c>
      <c r="D275" s="631">
        <v>180</v>
      </c>
      <c r="E275" s="12"/>
      <c r="F275" s="626">
        <f t="shared" ref="F275:F279" si="67">D275*E275</f>
        <v>0</v>
      </c>
    </row>
    <row r="276" spans="1:6">
      <c r="A276" s="646"/>
      <c r="B276" s="647" t="s">
        <v>2082</v>
      </c>
      <c r="C276" s="629" t="s">
        <v>1296</v>
      </c>
      <c r="D276" s="631">
        <v>95</v>
      </c>
      <c r="E276" s="12"/>
      <c r="F276" s="626">
        <f t="shared" si="67"/>
        <v>0</v>
      </c>
    </row>
    <row r="277" spans="1:6">
      <c r="A277" s="646"/>
      <c r="B277" s="647" t="s">
        <v>2083</v>
      </c>
      <c r="C277" s="629" t="s">
        <v>1296</v>
      </c>
      <c r="D277" s="631">
        <v>110</v>
      </c>
      <c r="E277" s="12"/>
      <c r="F277" s="626">
        <f t="shared" si="67"/>
        <v>0</v>
      </c>
    </row>
    <row r="278" spans="1:6">
      <c r="A278" s="646"/>
      <c r="B278" s="647" t="s">
        <v>2084</v>
      </c>
      <c r="C278" s="629" t="s">
        <v>1296</v>
      </c>
      <c r="D278" s="631">
        <v>10</v>
      </c>
      <c r="E278" s="12"/>
      <c r="F278" s="626">
        <f t="shared" si="67"/>
        <v>0</v>
      </c>
    </row>
    <row r="279" spans="1:6">
      <c r="A279" s="646"/>
      <c r="B279" s="647" t="s">
        <v>2085</v>
      </c>
      <c r="C279" s="629" t="s">
        <v>1296</v>
      </c>
      <c r="D279" s="631">
        <v>60</v>
      </c>
      <c r="E279" s="12"/>
      <c r="F279" s="626">
        <f t="shared" si="67"/>
        <v>0</v>
      </c>
    </row>
    <row r="280" spans="1:6">
      <c r="B280" s="611"/>
      <c r="C280" s="604"/>
      <c r="D280" s="605"/>
      <c r="E280" s="613"/>
    </row>
    <row r="281" spans="1:6" ht="114" customHeight="1">
      <c r="A281" s="645" t="s">
        <v>1259</v>
      </c>
      <c r="B281" s="601" t="s">
        <v>1386</v>
      </c>
      <c r="D281" s="631"/>
      <c r="E281" s="613"/>
    </row>
    <row r="282" spans="1:6">
      <c r="A282" s="646"/>
      <c r="B282" s="647" t="s">
        <v>2086</v>
      </c>
      <c r="C282" s="629" t="s">
        <v>1296</v>
      </c>
      <c r="D282" s="631">
        <v>25</v>
      </c>
      <c r="E282" s="12"/>
      <c r="F282" s="626">
        <f t="shared" ref="F282" si="68">D282*E282</f>
        <v>0</v>
      </c>
    </row>
    <row r="283" spans="1:6">
      <c r="A283" s="646"/>
      <c r="B283" s="647" t="s">
        <v>2087</v>
      </c>
      <c r="C283" s="629" t="s">
        <v>1296</v>
      </c>
      <c r="D283" s="631">
        <v>10</v>
      </c>
      <c r="E283" s="12"/>
      <c r="F283" s="626">
        <f t="shared" ref="F283" si="69">D283*E283</f>
        <v>0</v>
      </c>
    </row>
    <row r="284" spans="1:6">
      <c r="B284" s="611"/>
      <c r="C284" s="604"/>
      <c r="D284" s="605"/>
      <c r="E284" s="613"/>
    </row>
    <row r="285" spans="1:6" ht="114.75" customHeight="1">
      <c r="A285" s="645" t="s">
        <v>1261</v>
      </c>
      <c r="B285" s="601" t="s">
        <v>1387</v>
      </c>
      <c r="C285" s="604" t="s">
        <v>1016</v>
      </c>
      <c r="D285" s="605">
        <v>41</v>
      </c>
      <c r="E285" s="12"/>
      <c r="F285" s="626">
        <f t="shared" ref="F285" si="70">D285*E285</f>
        <v>0</v>
      </c>
    </row>
    <row r="286" spans="1:6">
      <c r="B286" s="611"/>
      <c r="C286" s="604"/>
      <c r="D286" s="605"/>
      <c r="E286" s="613"/>
    </row>
    <row r="287" spans="1:6" ht="30">
      <c r="A287" s="645" t="s">
        <v>1263</v>
      </c>
      <c r="B287" s="648" t="s">
        <v>1388</v>
      </c>
      <c r="D287" s="631"/>
      <c r="E287" s="613"/>
    </row>
    <row r="288" spans="1:6">
      <c r="A288" s="646"/>
      <c r="B288" s="649" t="s">
        <v>1389</v>
      </c>
      <c r="C288" s="629" t="s">
        <v>1296</v>
      </c>
      <c r="D288" s="631">
        <v>345</v>
      </c>
      <c r="E288" s="12"/>
      <c r="F288" s="626">
        <f t="shared" ref="F288" si="71">D288*E288</f>
        <v>0</v>
      </c>
    </row>
    <row r="289" spans="1:6">
      <c r="B289" s="611"/>
      <c r="C289" s="604"/>
      <c r="D289" s="605"/>
      <c r="E289" s="613"/>
    </row>
    <row r="290" spans="1:6" ht="77.25" customHeight="1">
      <c r="A290" s="645" t="s">
        <v>1281</v>
      </c>
      <c r="B290" s="650" t="s">
        <v>1390</v>
      </c>
      <c r="C290" s="651" t="s">
        <v>1016</v>
      </c>
      <c r="D290" s="631">
        <v>1</v>
      </c>
      <c r="E290" s="12"/>
      <c r="F290" s="626">
        <f t="shared" ref="F290" si="72">D290*E290</f>
        <v>0</v>
      </c>
    </row>
    <row r="291" spans="1:6">
      <c r="B291" s="611"/>
      <c r="C291" s="604"/>
      <c r="D291" s="605"/>
      <c r="E291" s="613"/>
    </row>
    <row r="292" spans="1:6">
      <c r="A292" s="652" t="s">
        <v>1284</v>
      </c>
      <c r="B292" s="650" t="s">
        <v>1391</v>
      </c>
      <c r="C292" s="651" t="s">
        <v>1016</v>
      </c>
      <c r="D292" s="631">
        <v>1</v>
      </c>
      <c r="E292" s="12"/>
      <c r="F292" s="626">
        <f t="shared" ref="F292" si="73">D292*E292</f>
        <v>0</v>
      </c>
    </row>
    <row r="293" spans="1:6">
      <c r="A293" s="646"/>
      <c r="B293" s="653"/>
      <c r="C293" s="651"/>
      <c r="D293" s="631"/>
      <c r="E293" s="613"/>
    </row>
    <row r="294" spans="1:6">
      <c r="A294" s="652" t="s">
        <v>1286</v>
      </c>
      <c r="B294" s="649" t="s">
        <v>1392</v>
      </c>
      <c r="C294" s="651" t="s">
        <v>1016</v>
      </c>
      <c r="D294" s="631">
        <v>1</v>
      </c>
      <c r="E294" s="12"/>
      <c r="F294" s="626">
        <f t="shared" ref="F294" si="74">D294*E294</f>
        <v>0</v>
      </c>
    </row>
    <row r="295" spans="1:6">
      <c r="A295" s="646"/>
      <c r="B295" s="653"/>
      <c r="C295" s="651"/>
      <c r="D295" s="631"/>
      <c r="E295" s="613"/>
    </row>
    <row r="296" spans="1:6" ht="20.25" customHeight="1">
      <c r="A296" s="645" t="s">
        <v>1288</v>
      </c>
      <c r="B296" s="654" t="s">
        <v>1393</v>
      </c>
      <c r="C296" s="651" t="s">
        <v>1016</v>
      </c>
      <c r="D296" s="631">
        <v>1</v>
      </c>
      <c r="E296" s="12"/>
      <c r="F296" s="626">
        <f t="shared" ref="F296" si="75">D296*E296</f>
        <v>0</v>
      </c>
    </row>
    <row r="297" spans="1:6">
      <c r="A297" s="646"/>
      <c r="B297" s="653"/>
      <c r="D297" s="631"/>
      <c r="E297" s="613"/>
    </row>
    <row r="298" spans="1:6" ht="60">
      <c r="A298" s="645" t="s">
        <v>1290</v>
      </c>
      <c r="B298" s="648" t="s">
        <v>1394</v>
      </c>
      <c r="C298" s="651" t="s">
        <v>1016</v>
      </c>
      <c r="D298" s="631">
        <v>1</v>
      </c>
      <c r="E298" s="12"/>
      <c r="F298" s="626">
        <f t="shared" ref="F298" si="76">D298*E298</f>
        <v>0</v>
      </c>
    </row>
    <row r="299" spans="1:6">
      <c r="A299" s="646"/>
      <c r="B299" s="653"/>
      <c r="D299" s="631"/>
      <c r="E299" s="613"/>
    </row>
    <row r="300" spans="1:6" ht="242.25" customHeight="1">
      <c r="A300" s="652" t="s">
        <v>1292</v>
      </c>
      <c r="B300" s="648" t="s">
        <v>1395</v>
      </c>
      <c r="C300" s="651" t="s">
        <v>1016</v>
      </c>
      <c r="D300" s="631">
        <v>1</v>
      </c>
      <c r="E300" s="12"/>
      <c r="F300" s="626">
        <f t="shared" ref="F300" si="77">D300*E300</f>
        <v>0</v>
      </c>
    </row>
    <row r="301" spans="1:6">
      <c r="A301" s="646"/>
      <c r="B301" s="653"/>
      <c r="D301" s="631"/>
      <c r="E301" s="613"/>
    </row>
    <row r="302" spans="1:6" ht="39" customHeight="1">
      <c r="A302" s="629" t="s">
        <v>1294</v>
      </c>
      <c r="B302" s="611" t="s">
        <v>1396</v>
      </c>
      <c r="C302" s="604" t="s">
        <v>1016</v>
      </c>
      <c r="D302" s="605">
        <v>1</v>
      </c>
      <c r="E302" s="12"/>
      <c r="F302" s="626">
        <f t="shared" ref="F302" si="78">D302*E302</f>
        <v>0</v>
      </c>
    </row>
    <row r="303" spans="1:6">
      <c r="A303" s="646"/>
      <c r="B303" s="653"/>
      <c r="D303" s="655"/>
      <c r="E303" s="613"/>
    </row>
    <row r="304" spans="1:6">
      <c r="A304" s="656" t="s">
        <v>1397</v>
      </c>
      <c r="B304" s="615"/>
      <c r="C304" s="614"/>
      <c r="D304" s="641"/>
      <c r="E304" s="627"/>
      <c r="F304" s="627"/>
    </row>
    <row r="305" spans="1:6">
      <c r="A305" s="604"/>
      <c r="B305" s="615"/>
      <c r="C305" s="614"/>
      <c r="D305" s="641"/>
      <c r="E305" s="627"/>
      <c r="F305" s="627"/>
    </row>
    <row r="306" spans="1:6">
      <c r="A306" s="981" t="s">
        <v>1177</v>
      </c>
      <c r="B306" s="982" t="s">
        <v>1398</v>
      </c>
      <c r="C306" s="989" t="s">
        <v>1016</v>
      </c>
      <c r="D306" s="990">
        <v>2</v>
      </c>
      <c r="E306" s="991"/>
      <c r="F306" s="992">
        <f t="shared" ref="F306" si="79">D306*E306</f>
        <v>0</v>
      </c>
    </row>
    <row r="307" spans="1:6" ht="145.5" customHeight="1">
      <c r="A307" s="981"/>
      <c r="B307" s="982"/>
      <c r="C307" s="989"/>
      <c r="D307" s="990"/>
      <c r="E307" s="991"/>
      <c r="F307" s="992"/>
    </row>
    <row r="308" spans="1:6">
      <c r="A308" s="604"/>
      <c r="B308" s="611"/>
      <c r="C308" s="614"/>
      <c r="D308" s="641"/>
      <c r="E308" s="657"/>
      <c r="F308" s="626"/>
    </row>
    <row r="309" spans="1:6">
      <c r="A309" s="598"/>
      <c r="D309" s="631"/>
      <c r="E309" s="598"/>
      <c r="F309" s="598"/>
    </row>
    <row r="310" spans="1:6">
      <c r="A310" s="658" t="s">
        <v>1399</v>
      </c>
      <c r="B310" s="659"/>
      <c r="C310" s="660"/>
      <c r="D310" s="661"/>
      <c r="E310" s="662"/>
      <c r="F310" s="662"/>
    </row>
    <row r="311" spans="1:6" ht="15.75" customHeight="1">
      <c r="A311" s="663"/>
      <c r="E311" s="613"/>
    </row>
    <row r="312" spans="1:6" ht="15.75" customHeight="1">
      <c r="A312" s="664" t="s">
        <v>1400</v>
      </c>
      <c r="B312" s="638" t="s">
        <v>1253</v>
      </c>
      <c r="D312" s="631"/>
      <c r="E312" s="598"/>
      <c r="F312" s="665">
        <f>SUM(F10:F21)</f>
        <v>0</v>
      </c>
    </row>
    <row r="313" spans="1:6" ht="15.75" customHeight="1">
      <c r="A313" s="664" t="s">
        <v>1400</v>
      </c>
      <c r="B313" s="638" t="s">
        <v>1265</v>
      </c>
      <c r="D313" s="631"/>
      <c r="E313" s="598"/>
      <c r="F313" s="665">
        <f>SUM(F24:F198)</f>
        <v>0</v>
      </c>
    </row>
    <row r="314" spans="1:6" ht="15.75" customHeight="1">
      <c r="A314" s="664" t="s">
        <v>1400</v>
      </c>
      <c r="B314" s="638" t="s">
        <v>1363</v>
      </c>
      <c r="D314" s="631"/>
      <c r="E314" s="598"/>
      <c r="F314" s="665">
        <f>SUM(F204:F209)</f>
        <v>0</v>
      </c>
    </row>
    <row r="315" spans="1:6" ht="17.25">
      <c r="A315" s="664" t="s">
        <v>1400</v>
      </c>
      <c r="B315" s="638" t="s">
        <v>1368</v>
      </c>
      <c r="D315" s="631"/>
      <c r="E315" s="598"/>
      <c r="F315" s="665">
        <f>SUM(F212:F241)</f>
        <v>0</v>
      </c>
    </row>
    <row r="316" spans="1:6" ht="17.25">
      <c r="A316" s="664" t="s">
        <v>1400</v>
      </c>
      <c r="B316" s="638" t="s">
        <v>1383</v>
      </c>
      <c r="D316" s="631"/>
      <c r="E316" s="598"/>
      <c r="F316" s="665">
        <f>SUM(F243:F303)</f>
        <v>0</v>
      </c>
    </row>
    <row r="317" spans="1:6" ht="17.25">
      <c r="A317" s="664" t="s">
        <v>1400</v>
      </c>
      <c r="B317" s="638" t="s">
        <v>1401</v>
      </c>
      <c r="D317" s="631"/>
      <c r="E317" s="598"/>
      <c r="F317" s="665">
        <f>F306</f>
        <v>0</v>
      </c>
    </row>
    <row r="318" spans="1:6">
      <c r="A318" s="638"/>
      <c r="D318" s="631"/>
      <c r="E318" s="598"/>
      <c r="F318" s="598"/>
    </row>
    <row r="319" spans="1:6">
      <c r="A319" s="663"/>
      <c r="B319" s="600" t="s">
        <v>1243</v>
      </c>
      <c r="D319" s="631"/>
      <c r="E319" s="598"/>
      <c r="F319" s="666">
        <f>SUM(F312:F317)</f>
        <v>0</v>
      </c>
    </row>
    <row r="320" spans="1:6">
      <c r="A320" s="663"/>
      <c r="B320" s="600" t="s">
        <v>1842</v>
      </c>
      <c r="D320" s="631"/>
      <c r="E320" s="598"/>
      <c r="F320" s="666">
        <f>F319*0.25</f>
        <v>0</v>
      </c>
    </row>
    <row r="321" spans="1:17">
      <c r="B321" s="600" t="s">
        <v>1402</v>
      </c>
      <c r="C321" s="604"/>
      <c r="D321" s="631"/>
      <c r="E321" s="613"/>
      <c r="F321" s="666">
        <f>F319+F320</f>
        <v>0</v>
      </c>
    </row>
    <row r="322" spans="1:17">
      <c r="B322" s="638"/>
      <c r="C322" s="604"/>
      <c r="D322" s="631"/>
      <c r="E322" s="613"/>
    </row>
    <row r="323" spans="1:17">
      <c r="B323" s="667"/>
      <c r="C323" s="604"/>
      <c r="D323" s="668"/>
      <c r="E323" s="613"/>
    </row>
    <row r="324" spans="1:17">
      <c r="B324" s="669"/>
      <c r="C324" s="604"/>
      <c r="D324" s="668"/>
      <c r="E324" s="613"/>
    </row>
    <row r="325" spans="1:17">
      <c r="B325" s="667"/>
      <c r="C325" s="604"/>
      <c r="D325" s="668"/>
      <c r="E325" s="613"/>
    </row>
    <row r="326" spans="1:17">
      <c r="D326" s="631"/>
      <c r="E326" s="613"/>
    </row>
    <row r="327" spans="1:17">
      <c r="B327" s="611"/>
      <c r="C327" s="604"/>
      <c r="D327" s="668"/>
      <c r="E327" s="613"/>
    </row>
    <row r="328" spans="1:17">
      <c r="B328" s="611"/>
      <c r="C328" s="604"/>
      <c r="D328" s="668"/>
      <c r="E328" s="613"/>
    </row>
    <row r="329" spans="1:17">
      <c r="B329" s="611"/>
      <c r="C329" s="604"/>
      <c r="D329" s="668"/>
      <c r="E329" s="613"/>
    </row>
    <row r="330" spans="1:17">
      <c r="B330" s="611"/>
      <c r="C330" s="604"/>
      <c r="D330" s="668"/>
      <c r="E330" s="613"/>
    </row>
    <row r="331" spans="1:17">
      <c r="E331" s="613"/>
    </row>
    <row r="332" spans="1:17">
      <c r="A332" s="598"/>
      <c r="D332" s="631"/>
      <c r="E332" s="598"/>
      <c r="F332" s="598"/>
      <c r="G332" s="663"/>
      <c r="H332" s="663"/>
      <c r="I332" s="663"/>
      <c r="J332" s="663"/>
      <c r="K332" s="663"/>
      <c r="L332" s="663"/>
      <c r="M332" s="663"/>
      <c r="N332" s="663"/>
      <c r="O332" s="663"/>
      <c r="P332" s="663"/>
      <c r="Q332" s="663"/>
    </row>
    <row r="333" spans="1:17">
      <c r="A333" s="598"/>
      <c r="D333" s="631"/>
      <c r="E333" s="598"/>
      <c r="F333" s="598"/>
      <c r="G333" s="663"/>
      <c r="H333" s="663"/>
      <c r="I333" s="663"/>
      <c r="J333" s="663"/>
      <c r="K333" s="663"/>
      <c r="L333" s="663"/>
      <c r="M333" s="663"/>
      <c r="N333" s="663"/>
      <c r="O333" s="663"/>
      <c r="P333" s="663"/>
      <c r="Q333" s="663"/>
    </row>
    <row r="334" spans="1:17">
      <c r="A334" s="598"/>
      <c r="D334" s="631"/>
      <c r="E334" s="598"/>
      <c r="F334" s="598"/>
      <c r="G334" s="663"/>
      <c r="H334" s="663"/>
      <c r="I334" s="663"/>
      <c r="J334" s="663"/>
      <c r="K334" s="663"/>
      <c r="L334" s="663"/>
      <c r="M334" s="663"/>
      <c r="N334" s="663"/>
      <c r="O334" s="663"/>
      <c r="P334" s="663"/>
      <c r="Q334" s="663"/>
    </row>
    <row r="335" spans="1:17">
      <c r="A335" s="598"/>
      <c r="D335" s="631"/>
      <c r="E335" s="598"/>
      <c r="F335" s="598"/>
      <c r="G335" s="663"/>
      <c r="H335" s="663"/>
      <c r="I335" s="663"/>
      <c r="J335" s="663"/>
      <c r="K335" s="663"/>
      <c r="L335" s="663"/>
      <c r="M335" s="663"/>
      <c r="N335" s="663"/>
      <c r="O335" s="663"/>
      <c r="P335" s="663"/>
      <c r="Q335" s="663"/>
    </row>
    <row r="336" spans="1:17">
      <c r="A336" s="598"/>
      <c r="D336" s="631"/>
      <c r="E336" s="598"/>
      <c r="F336" s="598"/>
      <c r="G336" s="663"/>
      <c r="H336" s="663"/>
      <c r="I336" s="663"/>
      <c r="J336" s="663"/>
      <c r="K336" s="663"/>
      <c r="L336" s="663"/>
      <c r="M336" s="663"/>
      <c r="N336" s="663"/>
      <c r="O336" s="663"/>
      <c r="P336" s="663"/>
      <c r="Q336" s="663"/>
    </row>
    <row r="337" spans="1:17">
      <c r="A337" s="598"/>
      <c r="D337" s="631"/>
      <c r="E337" s="598"/>
      <c r="F337" s="598"/>
      <c r="G337" s="663"/>
      <c r="H337" s="663"/>
      <c r="I337" s="663"/>
      <c r="J337" s="663"/>
      <c r="K337" s="663"/>
      <c r="L337" s="663"/>
      <c r="M337" s="663"/>
      <c r="N337" s="663"/>
      <c r="O337" s="663"/>
      <c r="P337" s="663"/>
      <c r="Q337" s="663"/>
    </row>
    <row r="338" spans="1:17" ht="17.649999999999999">
      <c r="A338" s="663"/>
      <c r="D338" s="631"/>
      <c r="E338" s="598"/>
      <c r="F338" s="670"/>
      <c r="G338" s="663"/>
      <c r="H338" s="663"/>
      <c r="I338" s="663"/>
      <c r="J338" s="663"/>
      <c r="K338" s="663"/>
      <c r="L338" s="663"/>
      <c r="M338" s="663"/>
      <c r="N338" s="663"/>
      <c r="O338" s="663"/>
      <c r="P338" s="663"/>
      <c r="Q338" s="671"/>
    </row>
    <row r="339" spans="1:17">
      <c r="D339" s="631"/>
      <c r="E339" s="598"/>
      <c r="F339" s="598"/>
    </row>
  </sheetData>
  <sheetProtection algorithmName="SHA-512" hashValue="eVGrkJ2sX0wcWDfxq+fCOfMwTRTB9cNich6vdRD6MULAHbafxedWXUpG/AVxffuf2AERegZf3Xq+st0f5yRqhw==" saltValue="J9qsOBh/vSuqlg/pACG7Rg==" spinCount="100000" sheet="1" objects="1" scenarios="1"/>
  <mergeCells count="40">
    <mergeCell ref="C306:C307"/>
    <mergeCell ref="D306:D307"/>
    <mergeCell ref="E306:E307"/>
    <mergeCell ref="F306:F307"/>
    <mergeCell ref="A246:A247"/>
    <mergeCell ref="B246:B247"/>
    <mergeCell ref="A270:A271"/>
    <mergeCell ref="B270:B271"/>
    <mergeCell ref="A306:A307"/>
    <mergeCell ref="B306:B307"/>
    <mergeCell ref="A124:A125"/>
    <mergeCell ref="B124:B125"/>
    <mergeCell ref="A127:A128"/>
    <mergeCell ref="A152:A153"/>
    <mergeCell ref="B152:B153"/>
    <mergeCell ref="A121:A122"/>
    <mergeCell ref="B121:B122"/>
    <mergeCell ref="A78:A79"/>
    <mergeCell ref="B78:B79"/>
    <mergeCell ref="A81:A82"/>
    <mergeCell ref="B81:B82"/>
    <mergeCell ref="B87:B88"/>
    <mergeCell ref="B94:B95"/>
    <mergeCell ref="B101:B102"/>
    <mergeCell ref="A101:A102"/>
    <mergeCell ref="A94:A95"/>
    <mergeCell ref="A87:A88"/>
    <mergeCell ref="D20:D21"/>
    <mergeCell ref="E20:E21"/>
    <mergeCell ref="F20:F21"/>
    <mergeCell ref="A69:A70"/>
    <mergeCell ref="B69:B70"/>
    <mergeCell ref="C20:C21"/>
    <mergeCell ref="A75:A76"/>
    <mergeCell ref="B75:B76"/>
    <mergeCell ref="A1:A2"/>
    <mergeCell ref="B1:B2"/>
    <mergeCell ref="A3:B3"/>
    <mergeCell ref="A20:A21"/>
    <mergeCell ref="B20:B21"/>
  </mergeCells>
  <pageMargins left="0.70866141732283472" right="0.70866141732283472" top="0.74803149606299213" bottom="0.74803149606299213" header="0.31496062992125984" footer="0.31496062992125984"/>
  <pageSetup paperSize="9" scale="71" fitToHeight="0" orientation="portrait" r:id="rId1"/>
  <rowBreaks count="8" manualBreakCount="8">
    <brk id="32" max="5" man="1"/>
    <brk id="70" max="5" man="1"/>
    <brk id="129" max="5" man="1"/>
    <brk id="164" max="5" man="1"/>
    <brk id="198" max="5" man="1"/>
    <brk id="242" max="5" man="1"/>
    <brk id="284" max="5" man="1"/>
    <brk id="308" max="5" man="1"/>
  </rowBreaks>
  <colBreaks count="1" manualBreakCount="1">
    <brk id="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1C6B2-45BC-4637-96F9-0025A28129E0}">
  <sheetPr>
    <tabColor rgb="FFFFFF00"/>
  </sheetPr>
  <dimension ref="B1:G484"/>
  <sheetViews>
    <sheetView topLeftCell="A461" zoomScale="120" zoomScaleNormal="120" zoomScaleSheetLayoutView="115" zoomScalePageLayoutView="85" workbookViewId="0">
      <selection activeCell="F465" sqref="F465"/>
    </sheetView>
  </sheetViews>
  <sheetFormatPr defaultColWidth="9.1328125" defaultRowHeight="14.25"/>
  <cols>
    <col min="1" max="1" width="9.1328125" style="1"/>
    <col min="2" max="2" width="5.59765625" style="1" customWidth="1"/>
    <col min="3" max="3" width="61" style="1" customWidth="1"/>
    <col min="4" max="4" width="9.1328125" style="673"/>
    <col min="5" max="5" width="9.1328125" style="785"/>
    <col min="6" max="6" width="16" style="823" customWidth="1"/>
    <col min="7" max="7" width="17" style="786" customWidth="1"/>
    <col min="8" max="16384" width="9.1328125" style="1"/>
  </cols>
  <sheetData>
    <row r="1" spans="2:7">
      <c r="F1" s="785"/>
    </row>
    <row r="2" spans="2:7">
      <c r="C2" s="672" t="s">
        <v>1403</v>
      </c>
      <c r="F2" s="785"/>
    </row>
    <row r="3" spans="2:7">
      <c r="C3" s="674" t="s">
        <v>1404</v>
      </c>
      <c r="F3" s="785"/>
    </row>
    <row r="4" spans="2:7">
      <c r="C4" s="674" t="s">
        <v>1405</v>
      </c>
      <c r="F4" s="785"/>
    </row>
    <row r="5" spans="2:7">
      <c r="C5" s="674" t="s">
        <v>1406</v>
      </c>
      <c r="F5" s="785"/>
    </row>
    <row r="6" spans="2:7">
      <c r="F6" s="785"/>
    </row>
    <row r="7" spans="2:7">
      <c r="B7" s="675" t="s">
        <v>1407</v>
      </c>
      <c r="C7" s="676" t="s">
        <v>1408</v>
      </c>
      <c r="D7" s="677" t="s">
        <v>1409</v>
      </c>
      <c r="E7" s="787" t="s">
        <v>1410</v>
      </c>
      <c r="F7" s="787" t="s">
        <v>1411</v>
      </c>
      <c r="G7" s="788" t="s">
        <v>1412</v>
      </c>
    </row>
    <row r="8" spans="2:7">
      <c r="B8" s="675" t="s">
        <v>1413</v>
      </c>
      <c r="C8" s="676" t="s">
        <v>1415</v>
      </c>
      <c r="D8" s="677" t="s">
        <v>1414</v>
      </c>
      <c r="E8" s="787"/>
      <c r="F8" s="787"/>
      <c r="G8" s="788" t="s">
        <v>1446</v>
      </c>
    </row>
    <row r="9" spans="2:7">
      <c r="B9" s="679"/>
      <c r="C9" s="680"/>
      <c r="D9" s="681"/>
      <c r="E9" s="789"/>
      <c r="F9" s="789"/>
      <c r="G9" s="789"/>
    </row>
    <row r="10" spans="2:7">
      <c r="B10" s="679" t="s">
        <v>1888</v>
      </c>
      <c r="C10" s="682" t="s">
        <v>1887</v>
      </c>
      <c r="D10" s="681"/>
      <c r="E10" s="789"/>
      <c r="F10" s="789"/>
      <c r="G10" s="789"/>
    </row>
    <row r="11" spans="2:7" ht="20.25">
      <c r="B11" s="683">
        <v>1</v>
      </c>
      <c r="C11" s="684" t="s">
        <v>1417</v>
      </c>
      <c r="D11" s="685" t="s">
        <v>1283</v>
      </c>
      <c r="E11" s="689">
        <v>1</v>
      </c>
      <c r="F11" s="13"/>
      <c r="G11" s="790">
        <f>E11*F11</f>
        <v>0</v>
      </c>
    </row>
    <row r="12" spans="2:7">
      <c r="B12" s="683">
        <v>2</v>
      </c>
      <c r="C12" s="684" t="s">
        <v>1418</v>
      </c>
      <c r="D12" s="685" t="s">
        <v>1283</v>
      </c>
      <c r="E12" s="689">
        <v>1</v>
      </c>
      <c r="F12" s="13"/>
      <c r="G12" s="790">
        <f t="shared" ref="G12:G30" si="0">E12*F12</f>
        <v>0</v>
      </c>
    </row>
    <row r="13" spans="2:7">
      <c r="B13" s="683">
        <v>3</v>
      </c>
      <c r="C13" s="684" t="s">
        <v>1419</v>
      </c>
      <c r="D13" s="685" t="s">
        <v>1283</v>
      </c>
      <c r="E13" s="689">
        <v>1</v>
      </c>
      <c r="F13" s="13"/>
      <c r="G13" s="790">
        <f t="shared" si="0"/>
        <v>0</v>
      </c>
    </row>
    <row r="14" spans="2:7">
      <c r="B14" s="683">
        <v>4</v>
      </c>
      <c r="C14" s="684" t="s">
        <v>1420</v>
      </c>
      <c r="D14" s="685" t="s">
        <v>24</v>
      </c>
      <c r="E14" s="689">
        <v>2</v>
      </c>
      <c r="F14" s="13"/>
      <c r="G14" s="790">
        <f t="shared" si="0"/>
        <v>0</v>
      </c>
    </row>
    <row r="15" spans="2:7">
      <c r="B15" s="683">
        <v>5</v>
      </c>
      <c r="C15" s="684" t="s">
        <v>1421</v>
      </c>
      <c r="D15" s="685" t="s">
        <v>1283</v>
      </c>
      <c r="E15" s="689">
        <v>7</v>
      </c>
      <c r="F15" s="13"/>
      <c r="G15" s="790">
        <f t="shared" si="0"/>
        <v>0</v>
      </c>
    </row>
    <row r="16" spans="2:7">
      <c r="B16" s="683">
        <v>6</v>
      </c>
      <c r="C16" s="684" t="s">
        <v>1422</v>
      </c>
      <c r="D16" s="685" t="s">
        <v>1283</v>
      </c>
      <c r="E16" s="689">
        <v>1</v>
      </c>
      <c r="F16" s="13"/>
      <c r="G16" s="790">
        <f t="shared" si="0"/>
        <v>0</v>
      </c>
    </row>
    <row r="17" spans="2:7">
      <c r="B17" s="683">
        <v>7</v>
      </c>
      <c r="C17" s="684" t="s">
        <v>1423</v>
      </c>
      <c r="D17" s="685" t="s">
        <v>1283</v>
      </c>
      <c r="E17" s="689">
        <v>6</v>
      </c>
      <c r="F17" s="13"/>
      <c r="G17" s="790">
        <f t="shared" si="0"/>
        <v>0</v>
      </c>
    </row>
    <row r="18" spans="2:7">
      <c r="B18" s="683">
        <v>8</v>
      </c>
      <c r="C18" s="684" t="s">
        <v>1424</v>
      </c>
      <c r="D18" s="685" t="s">
        <v>24</v>
      </c>
      <c r="E18" s="689">
        <v>6</v>
      </c>
      <c r="F18" s="13"/>
      <c r="G18" s="790">
        <f t="shared" si="0"/>
        <v>0</v>
      </c>
    </row>
    <row r="19" spans="2:7">
      <c r="B19" s="683">
        <v>9</v>
      </c>
      <c r="C19" s="684" t="s">
        <v>1425</v>
      </c>
      <c r="D19" s="685" t="s">
        <v>24</v>
      </c>
      <c r="E19" s="689">
        <v>1</v>
      </c>
      <c r="F19" s="13"/>
      <c r="G19" s="790">
        <f t="shared" si="0"/>
        <v>0</v>
      </c>
    </row>
    <row r="20" spans="2:7">
      <c r="B20" s="683">
        <v>10</v>
      </c>
      <c r="C20" s="686" t="s">
        <v>1426</v>
      </c>
      <c r="D20" s="685" t="s">
        <v>1296</v>
      </c>
      <c r="E20" s="689">
        <v>10</v>
      </c>
      <c r="F20" s="13"/>
      <c r="G20" s="790">
        <f t="shared" si="0"/>
        <v>0</v>
      </c>
    </row>
    <row r="21" spans="2:7">
      <c r="B21" s="683">
        <v>11</v>
      </c>
      <c r="C21" s="686" t="s">
        <v>1427</v>
      </c>
      <c r="D21" s="685" t="s">
        <v>1283</v>
      </c>
      <c r="E21" s="689">
        <v>1</v>
      </c>
      <c r="F21" s="13"/>
      <c r="G21" s="790">
        <f t="shared" si="0"/>
        <v>0</v>
      </c>
    </row>
    <row r="22" spans="2:7">
      <c r="B22" s="683">
        <v>12</v>
      </c>
      <c r="C22" s="686" t="s">
        <v>1428</v>
      </c>
      <c r="D22" s="685" t="s">
        <v>1296</v>
      </c>
      <c r="E22" s="689">
        <v>10</v>
      </c>
      <c r="F22" s="13"/>
      <c r="G22" s="790">
        <f t="shared" si="0"/>
        <v>0</v>
      </c>
    </row>
    <row r="23" spans="2:7">
      <c r="B23" s="683">
        <v>13</v>
      </c>
      <c r="C23" s="687" t="s">
        <v>1429</v>
      </c>
      <c r="D23" s="685" t="s">
        <v>1296</v>
      </c>
      <c r="E23" s="689">
        <v>10</v>
      </c>
      <c r="F23" s="13"/>
      <c r="G23" s="790">
        <f t="shared" si="0"/>
        <v>0</v>
      </c>
    </row>
    <row r="24" spans="2:7">
      <c r="B24" s="683">
        <v>14</v>
      </c>
      <c r="C24" s="687" t="s">
        <v>1430</v>
      </c>
      <c r="D24" s="685" t="s">
        <v>1296</v>
      </c>
      <c r="E24" s="689">
        <v>10</v>
      </c>
      <c r="F24" s="13"/>
      <c r="G24" s="790">
        <f t="shared" si="0"/>
        <v>0</v>
      </c>
    </row>
    <row r="25" spans="2:7">
      <c r="B25" s="683">
        <v>15</v>
      </c>
      <c r="C25" s="687" t="s">
        <v>1431</v>
      </c>
      <c r="D25" s="685" t="s">
        <v>1296</v>
      </c>
      <c r="E25" s="689">
        <v>10</v>
      </c>
      <c r="F25" s="13"/>
      <c r="G25" s="790">
        <f t="shared" si="0"/>
        <v>0</v>
      </c>
    </row>
    <row r="26" spans="2:7">
      <c r="B26" s="683">
        <v>16</v>
      </c>
      <c r="C26" s="687" t="s">
        <v>1432</v>
      </c>
      <c r="D26" s="685" t="s">
        <v>1296</v>
      </c>
      <c r="E26" s="689">
        <v>10</v>
      </c>
      <c r="F26" s="13"/>
      <c r="G26" s="790">
        <f t="shared" si="0"/>
        <v>0</v>
      </c>
    </row>
    <row r="27" spans="2:7">
      <c r="B27" s="683">
        <v>17</v>
      </c>
      <c r="C27" s="686" t="s">
        <v>1433</v>
      </c>
      <c r="D27" s="685" t="s">
        <v>1296</v>
      </c>
      <c r="E27" s="689">
        <v>10</v>
      </c>
      <c r="F27" s="13"/>
      <c r="G27" s="790">
        <f t="shared" si="0"/>
        <v>0</v>
      </c>
    </row>
    <row r="28" spans="2:7">
      <c r="B28" s="683">
        <v>18</v>
      </c>
      <c r="C28" s="686" t="s">
        <v>1434</v>
      </c>
      <c r="D28" s="685" t="s">
        <v>1296</v>
      </c>
      <c r="E28" s="689">
        <v>5</v>
      </c>
      <c r="F28" s="13"/>
      <c r="G28" s="790">
        <f t="shared" si="0"/>
        <v>0</v>
      </c>
    </row>
    <row r="29" spans="2:7">
      <c r="B29" s="683">
        <v>19</v>
      </c>
      <c r="C29" s="686" t="s">
        <v>1435</v>
      </c>
      <c r="D29" s="685" t="s">
        <v>1436</v>
      </c>
      <c r="E29" s="689">
        <v>1</v>
      </c>
      <c r="F29" s="13"/>
      <c r="G29" s="790">
        <f t="shared" si="0"/>
        <v>0</v>
      </c>
    </row>
    <row r="30" spans="2:7">
      <c r="B30" s="683">
        <v>20</v>
      </c>
      <c r="C30" s="686" t="s">
        <v>1437</v>
      </c>
      <c r="D30" s="685" t="s">
        <v>1436</v>
      </c>
      <c r="E30" s="689">
        <v>1</v>
      </c>
      <c r="F30" s="13"/>
      <c r="G30" s="790">
        <f t="shared" si="0"/>
        <v>0</v>
      </c>
    </row>
    <row r="31" spans="2:7">
      <c r="B31" s="688"/>
      <c r="C31" s="686"/>
      <c r="D31" s="685"/>
      <c r="E31" s="689"/>
      <c r="F31" s="689"/>
      <c r="G31" s="790"/>
    </row>
    <row r="32" spans="2:7">
      <c r="B32" s="690"/>
      <c r="C32" s="691" t="s">
        <v>1438</v>
      </c>
      <c r="D32" s="692"/>
      <c r="E32" s="693"/>
      <c r="F32" s="693"/>
      <c r="G32" s="791"/>
    </row>
    <row r="33" spans="2:7">
      <c r="B33" s="694"/>
      <c r="C33" s="695" t="s">
        <v>1887</v>
      </c>
      <c r="D33" s="696"/>
      <c r="E33" s="697"/>
      <c r="F33" s="697"/>
      <c r="G33" s="789"/>
    </row>
    <row r="34" spans="2:7">
      <c r="B34" s="698">
        <v>21</v>
      </c>
      <c r="C34" s="686" t="s">
        <v>1439</v>
      </c>
      <c r="D34" s="685" t="s">
        <v>1296</v>
      </c>
      <c r="E34" s="689">
        <v>50</v>
      </c>
      <c r="F34" s="13"/>
      <c r="G34" s="790">
        <f t="shared" ref="G34:G38" si="1">E34*F34</f>
        <v>0</v>
      </c>
    </row>
    <row r="35" spans="2:7">
      <c r="B35" s="698">
        <v>22</v>
      </c>
      <c r="C35" s="686" t="s">
        <v>1440</v>
      </c>
      <c r="D35" s="685" t="s">
        <v>1296</v>
      </c>
      <c r="E35" s="689">
        <v>70</v>
      </c>
      <c r="F35" s="13"/>
      <c r="G35" s="790">
        <f t="shared" si="1"/>
        <v>0</v>
      </c>
    </row>
    <row r="36" spans="2:7">
      <c r="B36" s="698">
        <v>23</v>
      </c>
      <c r="C36" s="686" t="s">
        <v>1441</v>
      </c>
      <c r="D36" s="685" t="s">
        <v>1296</v>
      </c>
      <c r="E36" s="689">
        <v>110</v>
      </c>
      <c r="F36" s="13"/>
      <c r="G36" s="790">
        <f t="shared" si="1"/>
        <v>0</v>
      </c>
    </row>
    <row r="37" spans="2:7">
      <c r="B37" s="698">
        <v>24</v>
      </c>
      <c r="C37" s="686" t="s">
        <v>1435</v>
      </c>
      <c r="D37" s="685" t="s">
        <v>1436</v>
      </c>
      <c r="E37" s="689">
        <v>1</v>
      </c>
      <c r="F37" s="13"/>
      <c r="G37" s="790">
        <f t="shared" si="1"/>
        <v>0</v>
      </c>
    </row>
    <row r="38" spans="2:7">
      <c r="B38" s="698">
        <v>25</v>
      </c>
      <c r="C38" s="686" t="s">
        <v>1437</v>
      </c>
      <c r="D38" s="685" t="s">
        <v>1436</v>
      </c>
      <c r="E38" s="689">
        <v>1</v>
      </c>
      <c r="F38" s="13"/>
      <c r="G38" s="790">
        <f t="shared" si="1"/>
        <v>0</v>
      </c>
    </row>
    <row r="39" spans="2:7">
      <c r="B39" s="699"/>
      <c r="C39" s="686"/>
      <c r="D39" s="685"/>
      <c r="E39" s="689"/>
      <c r="F39" s="689"/>
      <c r="G39" s="790"/>
    </row>
    <row r="40" spans="2:7">
      <c r="B40" s="694"/>
      <c r="C40" s="691" t="s">
        <v>1442</v>
      </c>
      <c r="D40" s="692"/>
      <c r="E40" s="693"/>
      <c r="F40" s="693"/>
      <c r="G40" s="791"/>
    </row>
    <row r="41" spans="2:7" ht="20.25">
      <c r="B41" s="698">
        <v>26</v>
      </c>
      <c r="C41" s="700" t="s">
        <v>1443</v>
      </c>
      <c r="D41" s="701" t="s">
        <v>1436</v>
      </c>
      <c r="E41" s="792">
        <v>1</v>
      </c>
      <c r="F41" s="14"/>
      <c r="G41" s="790">
        <f t="shared" ref="G41" si="2">E41*F41</f>
        <v>0</v>
      </c>
    </row>
    <row r="42" spans="2:7">
      <c r="B42" s="702"/>
      <c r="C42" s="703" t="s">
        <v>1444</v>
      </c>
      <c r="D42" s="704"/>
      <c r="E42" s="793"/>
      <c r="F42" s="794"/>
      <c r="G42" s="795">
        <f>SUM(G11:G41)</f>
        <v>0</v>
      </c>
    </row>
    <row r="43" spans="2:7">
      <c r="F43" s="785"/>
    </row>
    <row r="44" spans="2:7">
      <c r="F44" s="785"/>
    </row>
    <row r="45" spans="2:7">
      <c r="B45" s="675" t="s">
        <v>1407</v>
      </c>
      <c r="C45" s="676" t="s">
        <v>1408</v>
      </c>
      <c r="D45" s="677" t="s">
        <v>1409</v>
      </c>
      <c r="E45" s="787" t="s">
        <v>1410</v>
      </c>
      <c r="F45" s="787" t="s">
        <v>1411</v>
      </c>
      <c r="G45" s="788" t="s">
        <v>1412</v>
      </c>
    </row>
    <row r="46" spans="2:7">
      <c r="B46" s="675" t="s">
        <v>1413</v>
      </c>
      <c r="C46" s="676" t="s">
        <v>1445</v>
      </c>
      <c r="D46" s="677" t="s">
        <v>1414</v>
      </c>
      <c r="E46" s="787"/>
      <c r="F46" s="787"/>
      <c r="G46" s="788" t="s">
        <v>1446</v>
      </c>
    </row>
    <row r="47" spans="2:7">
      <c r="B47" s="705"/>
      <c r="C47" s="706"/>
      <c r="D47" s="681"/>
      <c r="E47" s="789"/>
      <c r="F47" s="789"/>
      <c r="G47" s="789"/>
    </row>
    <row r="48" spans="2:7">
      <c r="B48" s="705" t="s">
        <v>1889</v>
      </c>
      <c r="C48" s="682" t="s">
        <v>1887</v>
      </c>
      <c r="D48" s="681"/>
      <c r="E48" s="789"/>
      <c r="F48" s="789"/>
      <c r="G48" s="789"/>
    </row>
    <row r="49" spans="2:7" ht="20.25">
      <c r="B49" s="705">
        <v>1</v>
      </c>
      <c r="C49" s="707" t="s">
        <v>1447</v>
      </c>
      <c r="D49" s="696" t="s">
        <v>1283</v>
      </c>
      <c r="E49" s="697">
        <v>1</v>
      </c>
      <c r="F49" s="13"/>
      <c r="G49" s="790">
        <f t="shared" ref="G49:G63" si="3">E49*F49</f>
        <v>0</v>
      </c>
    </row>
    <row r="50" spans="2:7">
      <c r="B50" s="705">
        <v>2</v>
      </c>
      <c r="C50" s="707" t="s">
        <v>1448</v>
      </c>
      <c r="D50" s="696" t="s">
        <v>24</v>
      </c>
      <c r="E50" s="697">
        <v>1</v>
      </c>
      <c r="F50" s="13"/>
      <c r="G50" s="790">
        <f t="shared" si="3"/>
        <v>0</v>
      </c>
    </row>
    <row r="51" spans="2:7">
      <c r="B51" s="705">
        <v>3</v>
      </c>
      <c r="C51" s="707" t="s">
        <v>1449</v>
      </c>
      <c r="D51" s="696" t="s">
        <v>1283</v>
      </c>
      <c r="E51" s="697">
        <v>1</v>
      </c>
      <c r="F51" s="13"/>
      <c r="G51" s="790">
        <f t="shared" si="3"/>
        <v>0</v>
      </c>
    </row>
    <row r="52" spans="2:7">
      <c r="B52" s="705">
        <v>4</v>
      </c>
      <c r="C52" s="707" t="s">
        <v>1450</v>
      </c>
      <c r="D52" s="696" t="s">
        <v>1283</v>
      </c>
      <c r="E52" s="697">
        <v>13</v>
      </c>
      <c r="F52" s="13"/>
      <c r="G52" s="790">
        <f t="shared" si="3"/>
        <v>0</v>
      </c>
    </row>
    <row r="53" spans="2:7">
      <c r="B53" s="705">
        <v>5</v>
      </c>
      <c r="C53" s="707" t="s">
        <v>1451</v>
      </c>
      <c r="D53" s="696" t="s">
        <v>1283</v>
      </c>
      <c r="E53" s="697">
        <v>37</v>
      </c>
      <c r="F53" s="13"/>
      <c r="G53" s="790">
        <f t="shared" si="3"/>
        <v>0</v>
      </c>
    </row>
    <row r="54" spans="2:7">
      <c r="B54" s="705">
        <v>6</v>
      </c>
      <c r="C54" s="707" t="s">
        <v>1452</v>
      </c>
      <c r="D54" s="696" t="s">
        <v>1283</v>
      </c>
      <c r="E54" s="697">
        <v>1</v>
      </c>
      <c r="F54" s="13"/>
      <c r="G54" s="790">
        <f t="shared" si="3"/>
        <v>0</v>
      </c>
    </row>
    <row r="55" spans="2:7">
      <c r="B55" s="705">
        <v>7</v>
      </c>
      <c r="C55" s="707" t="s">
        <v>1425</v>
      </c>
      <c r="D55" s="696" t="s">
        <v>24</v>
      </c>
      <c r="E55" s="697">
        <v>1</v>
      </c>
      <c r="F55" s="13"/>
      <c r="G55" s="790">
        <f t="shared" si="3"/>
        <v>0</v>
      </c>
    </row>
    <row r="56" spans="2:7">
      <c r="B56" s="705">
        <v>8</v>
      </c>
      <c r="C56" s="707" t="s">
        <v>1426</v>
      </c>
      <c r="D56" s="696" t="s">
        <v>1296</v>
      </c>
      <c r="E56" s="697">
        <v>10</v>
      </c>
      <c r="F56" s="13"/>
      <c r="G56" s="790">
        <f t="shared" si="3"/>
        <v>0</v>
      </c>
    </row>
    <row r="57" spans="2:7">
      <c r="B57" s="705">
        <v>9</v>
      </c>
      <c r="C57" s="707" t="s">
        <v>1427</v>
      </c>
      <c r="D57" s="696" t="s">
        <v>1283</v>
      </c>
      <c r="E57" s="697">
        <v>1</v>
      </c>
      <c r="F57" s="13"/>
      <c r="G57" s="790">
        <f t="shared" si="3"/>
        <v>0</v>
      </c>
    </row>
    <row r="58" spans="2:7">
      <c r="B58" s="705">
        <v>10</v>
      </c>
      <c r="C58" s="707" t="s">
        <v>1453</v>
      </c>
      <c r="D58" s="696" t="s">
        <v>1296</v>
      </c>
      <c r="E58" s="697">
        <v>10</v>
      </c>
      <c r="F58" s="13"/>
      <c r="G58" s="790">
        <f t="shared" si="3"/>
        <v>0</v>
      </c>
    </row>
    <row r="59" spans="2:7">
      <c r="B59" s="705">
        <v>11</v>
      </c>
      <c r="C59" s="707" t="s">
        <v>1429</v>
      </c>
      <c r="D59" s="696" t="s">
        <v>1296</v>
      </c>
      <c r="E59" s="697">
        <v>50</v>
      </c>
      <c r="F59" s="13"/>
      <c r="G59" s="790">
        <f t="shared" si="3"/>
        <v>0</v>
      </c>
    </row>
    <row r="60" spans="2:7">
      <c r="B60" s="705">
        <v>12</v>
      </c>
      <c r="C60" s="707" t="s">
        <v>1430</v>
      </c>
      <c r="D60" s="696" t="s">
        <v>1296</v>
      </c>
      <c r="E60" s="697">
        <v>50</v>
      </c>
      <c r="F60" s="13"/>
      <c r="G60" s="790">
        <f t="shared" si="3"/>
        <v>0</v>
      </c>
    </row>
    <row r="61" spans="2:7">
      <c r="B61" s="705">
        <v>13</v>
      </c>
      <c r="C61" s="707" t="s">
        <v>1434</v>
      </c>
      <c r="D61" s="696" t="s">
        <v>1296</v>
      </c>
      <c r="E61" s="697">
        <v>5</v>
      </c>
      <c r="F61" s="13"/>
      <c r="G61" s="790">
        <f t="shared" si="3"/>
        <v>0</v>
      </c>
    </row>
    <row r="62" spans="2:7">
      <c r="B62" s="705">
        <v>14</v>
      </c>
      <c r="C62" s="707" t="s">
        <v>1435</v>
      </c>
      <c r="D62" s="696" t="s">
        <v>1436</v>
      </c>
      <c r="E62" s="697">
        <v>1</v>
      </c>
      <c r="F62" s="13"/>
      <c r="G62" s="790">
        <f t="shared" si="3"/>
        <v>0</v>
      </c>
    </row>
    <row r="63" spans="2:7">
      <c r="B63" s="705">
        <v>15</v>
      </c>
      <c r="C63" s="707" t="s">
        <v>1437</v>
      </c>
      <c r="D63" s="696" t="s">
        <v>1436</v>
      </c>
      <c r="E63" s="697">
        <v>1</v>
      </c>
      <c r="F63" s="13"/>
      <c r="G63" s="790">
        <f t="shared" si="3"/>
        <v>0</v>
      </c>
    </row>
    <row r="64" spans="2:7">
      <c r="B64" s="705"/>
      <c r="C64" s="707"/>
      <c r="D64" s="696"/>
      <c r="E64" s="697"/>
      <c r="F64" s="689"/>
      <c r="G64" s="789"/>
    </row>
    <row r="65" spans="2:7">
      <c r="B65" s="705"/>
      <c r="C65" s="708" t="s">
        <v>1454</v>
      </c>
      <c r="D65" s="692"/>
      <c r="E65" s="693"/>
      <c r="F65" s="693"/>
      <c r="G65" s="791"/>
    </row>
    <row r="66" spans="2:7">
      <c r="B66" s="709"/>
      <c r="C66" s="710" t="s">
        <v>1887</v>
      </c>
      <c r="D66" s="711"/>
      <c r="E66" s="697"/>
      <c r="F66" s="689"/>
      <c r="G66" s="789"/>
    </row>
    <row r="67" spans="2:7">
      <c r="B67" s="705">
        <v>16</v>
      </c>
      <c r="C67" s="707" t="s">
        <v>1455</v>
      </c>
      <c r="D67" s="696" t="s">
        <v>1296</v>
      </c>
      <c r="E67" s="697">
        <v>5</v>
      </c>
      <c r="F67" s="13"/>
      <c r="G67" s="790">
        <f t="shared" ref="G67:G80" si="4">E67*F67</f>
        <v>0</v>
      </c>
    </row>
    <row r="68" spans="2:7">
      <c r="B68" s="705">
        <v>17</v>
      </c>
      <c r="C68" s="707" t="s">
        <v>1456</v>
      </c>
      <c r="D68" s="696" t="s">
        <v>1296</v>
      </c>
      <c r="E68" s="697">
        <v>200</v>
      </c>
      <c r="F68" s="13"/>
      <c r="G68" s="790">
        <f t="shared" si="4"/>
        <v>0</v>
      </c>
    </row>
    <row r="69" spans="2:7">
      <c r="B69" s="705">
        <v>18</v>
      </c>
      <c r="C69" s="707" t="s">
        <v>1457</v>
      </c>
      <c r="D69" s="696" t="s">
        <v>1296</v>
      </c>
      <c r="E69" s="697">
        <v>1600</v>
      </c>
      <c r="F69" s="13"/>
      <c r="G69" s="790">
        <f t="shared" si="4"/>
        <v>0</v>
      </c>
    </row>
    <row r="70" spans="2:7">
      <c r="B70" s="705">
        <v>19</v>
      </c>
      <c r="C70" s="707" t="s">
        <v>1458</v>
      </c>
      <c r="D70" s="696" t="s">
        <v>1296</v>
      </c>
      <c r="E70" s="697">
        <v>1400</v>
      </c>
      <c r="F70" s="13"/>
      <c r="G70" s="790">
        <f t="shared" si="4"/>
        <v>0</v>
      </c>
    </row>
    <row r="71" spans="2:7">
      <c r="B71" s="705">
        <v>20</v>
      </c>
      <c r="C71" s="707" t="s">
        <v>1459</v>
      </c>
      <c r="D71" s="696" t="s">
        <v>1283</v>
      </c>
      <c r="E71" s="697">
        <v>25</v>
      </c>
      <c r="F71" s="13"/>
      <c r="G71" s="790">
        <f t="shared" si="4"/>
        <v>0</v>
      </c>
    </row>
    <row r="72" spans="2:7">
      <c r="B72" s="705">
        <v>21</v>
      </c>
      <c r="C72" s="707" t="s">
        <v>1460</v>
      </c>
      <c r="D72" s="696" t="s">
        <v>24</v>
      </c>
      <c r="E72" s="697">
        <v>4</v>
      </c>
      <c r="F72" s="13"/>
      <c r="G72" s="790">
        <f t="shared" si="4"/>
        <v>0</v>
      </c>
    </row>
    <row r="73" spans="2:7">
      <c r="B73" s="705">
        <v>22</v>
      </c>
      <c r="C73" s="707" t="s">
        <v>1461</v>
      </c>
      <c r="D73" s="696" t="s">
        <v>24</v>
      </c>
      <c r="E73" s="697">
        <v>15</v>
      </c>
      <c r="F73" s="13"/>
      <c r="G73" s="790">
        <f t="shared" si="4"/>
        <v>0</v>
      </c>
    </row>
    <row r="74" spans="2:7">
      <c r="B74" s="705">
        <v>23</v>
      </c>
      <c r="C74" s="707" t="s">
        <v>1462</v>
      </c>
      <c r="D74" s="696" t="s">
        <v>24</v>
      </c>
      <c r="E74" s="697">
        <v>60</v>
      </c>
      <c r="F74" s="13"/>
      <c r="G74" s="790">
        <f t="shared" si="4"/>
        <v>0</v>
      </c>
    </row>
    <row r="75" spans="2:7">
      <c r="B75" s="705">
        <v>24</v>
      </c>
      <c r="C75" s="707" t="s">
        <v>1463</v>
      </c>
      <c r="D75" s="696" t="s">
        <v>1296</v>
      </c>
      <c r="E75" s="697">
        <v>1300</v>
      </c>
      <c r="F75" s="13"/>
      <c r="G75" s="790">
        <f t="shared" si="4"/>
        <v>0</v>
      </c>
    </row>
    <row r="76" spans="2:7">
      <c r="B76" s="705">
        <v>25</v>
      </c>
      <c r="C76" s="707" t="s">
        <v>1464</v>
      </c>
      <c r="D76" s="696" t="s">
        <v>24</v>
      </c>
      <c r="E76" s="697">
        <v>25</v>
      </c>
      <c r="F76" s="13"/>
      <c r="G76" s="790">
        <f t="shared" si="4"/>
        <v>0</v>
      </c>
    </row>
    <row r="77" spans="2:7">
      <c r="B77" s="705">
        <v>26</v>
      </c>
      <c r="C77" s="707" t="s">
        <v>1465</v>
      </c>
      <c r="D77" s="696" t="s">
        <v>24</v>
      </c>
      <c r="E77" s="697">
        <v>55</v>
      </c>
      <c r="F77" s="13"/>
      <c r="G77" s="790">
        <f t="shared" si="4"/>
        <v>0</v>
      </c>
    </row>
    <row r="78" spans="2:7">
      <c r="B78" s="705">
        <v>27</v>
      </c>
      <c r="C78" s="707" t="s">
        <v>1466</v>
      </c>
      <c r="D78" s="696" t="s">
        <v>24</v>
      </c>
      <c r="E78" s="697">
        <v>150</v>
      </c>
      <c r="F78" s="13"/>
      <c r="G78" s="790">
        <f t="shared" si="4"/>
        <v>0</v>
      </c>
    </row>
    <row r="79" spans="2:7">
      <c r="B79" s="705">
        <v>28</v>
      </c>
      <c r="C79" s="707" t="s">
        <v>1435</v>
      </c>
      <c r="D79" s="696" t="s">
        <v>1436</v>
      </c>
      <c r="E79" s="697">
        <v>1</v>
      </c>
      <c r="F79" s="13"/>
      <c r="G79" s="790">
        <f t="shared" si="4"/>
        <v>0</v>
      </c>
    </row>
    <row r="80" spans="2:7">
      <c r="B80" s="705">
        <v>29</v>
      </c>
      <c r="C80" s="712" t="s">
        <v>1437</v>
      </c>
      <c r="D80" s="713" t="s">
        <v>1436</v>
      </c>
      <c r="E80" s="722">
        <v>1</v>
      </c>
      <c r="F80" s="13"/>
      <c r="G80" s="790">
        <f t="shared" si="4"/>
        <v>0</v>
      </c>
    </row>
    <row r="81" spans="2:7">
      <c r="B81" s="714"/>
      <c r="C81" s="715" t="s">
        <v>1444</v>
      </c>
      <c r="D81" s="716"/>
      <c r="E81" s="796"/>
      <c r="F81" s="797"/>
      <c r="G81" s="795">
        <f>SUM(G49:G80)</f>
        <v>0</v>
      </c>
    </row>
    <row r="82" spans="2:7">
      <c r="F82" s="785"/>
    </row>
    <row r="83" spans="2:7">
      <c r="F83" s="785"/>
    </row>
    <row r="84" spans="2:7">
      <c r="B84" s="675" t="s">
        <v>1407</v>
      </c>
      <c r="C84" s="676" t="s">
        <v>1408</v>
      </c>
      <c r="D84" s="677" t="s">
        <v>1409</v>
      </c>
      <c r="E84" s="787" t="s">
        <v>1410</v>
      </c>
      <c r="F84" s="787" t="s">
        <v>1411</v>
      </c>
      <c r="G84" s="788" t="s">
        <v>1412</v>
      </c>
    </row>
    <row r="85" spans="2:7">
      <c r="B85" s="675" t="s">
        <v>1413</v>
      </c>
      <c r="C85" s="676" t="s">
        <v>1467</v>
      </c>
      <c r="D85" s="677" t="s">
        <v>1414</v>
      </c>
      <c r="E85" s="787"/>
      <c r="F85" s="787"/>
      <c r="G85" s="788" t="s">
        <v>1446</v>
      </c>
    </row>
    <row r="86" spans="2:7">
      <c r="B86" s="705"/>
      <c r="C86" s="706"/>
      <c r="D86" s="681"/>
      <c r="E86" s="789"/>
      <c r="F86" s="789"/>
      <c r="G86" s="789"/>
    </row>
    <row r="87" spans="2:7">
      <c r="B87" s="705" t="s">
        <v>1890</v>
      </c>
      <c r="C87" s="682" t="s">
        <v>1887</v>
      </c>
      <c r="D87" s="681"/>
      <c r="E87" s="789"/>
      <c r="F87" s="789"/>
      <c r="G87" s="789"/>
    </row>
    <row r="88" spans="2:7" ht="20.25">
      <c r="B88" s="705">
        <v>1</v>
      </c>
      <c r="C88" s="707" t="s">
        <v>1447</v>
      </c>
      <c r="D88" s="696" t="s">
        <v>1283</v>
      </c>
      <c r="E88" s="697">
        <v>1</v>
      </c>
      <c r="F88" s="13"/>
      <c r="G88" s="790">
        <f t="shared" ref="G88:G119" si="5">E88*F88</f>
        <v>0</v>
      </c>
    </row>
    <row r="89" spans="2:7">
      <c r="B89" s="705">
        <v>2</v>
      </c>
      <c r="C89" s="707" t="s">
        <v>1448</v>
      </c>
      <c r="D89" s="696" t="s">
        <v>24</v>
      </c>
      <c r="E89" s="697">
        <v>1</v>
      </c>
      <c r="F89" s="13"/>
      <c r="G89" s="790">
        <f t="shared" si="5"/>
        <v>0</v>
      </c>
    </row>
    <row r="90" spans="2:7">
      <c r="B90" s="705">
        <v>3</v>
      </c>
      <c r="C90" s="707" t="s">
        <v>1449</v>
      </c>
      <c r="D90" s="696" t="s">
        <v>1283</v>
      </c>
      <c r="E90" s="697">
        <v>1</v>
      </c>
      <c r="F90" s="13"/>
      <c r="G90" s="790">
        <f t="shared" si="5"/>
        <v>0</v>
      </c>
    </row>
    <row r="91" spans="2:7">
      <c r="B91" s="705">
        <v>4</v>
      </c>
      <c r="C91" s="707" t="s">
        <v>1450</v>
      </c>
      <c r="D91" s="696" t="s">
        <v>1283</v>
      </c>
      <c r="E91" s="697">
        <v>13</v>
      </c>
      <c r="F91" s="13"/>
      <c r="G91" s="790">
        <f t="shared" si="5"/>
        <v>0</v>
      </c>
    </row>
    <row r="92" spans="2:7">
      <c r="B92" s="705">
        <v>5</v>
      </c>
      <c r="C92" s="707" t="s">
        <v>1451</v>
      </c>
      <c r="D92" s="696" t="s">
        <v>1283</v>
      </c>
      <c r="E92" s="697">
        <v>25</v>
      </c>
      <c r="F92" s="13"/>
      <c r="G92" s="790">
        <f t="shared" si="5"/>
        <v>0</v>
      </c>
    </row>
    <row r="93" spans="2:7">
      <c r="B93" s="705">
        <v>6</v>
      </c>
      <c r="C93" s="707" t="s">
        <v>1452</v>
      </c>
      <c r="D93" s="696" t="s">
        <v>1283</v>
      </c>
      <c r="E93" s="697">
        <v>1</v>
      </c>
      <c r="F93" s="13"/>
      <c r="G93" s="790">
        <f t="shared" si="5"/>
        <v>0</v>
      </c>
    </row>
    <row r="94" spans="2:7">
      <c r="B94" s="705">
        <v>7</v>
      </c>
      <c r="C94" s="707" t="s">
        <v>1425</v>
      </c>
      <c r="D94" s="696" t="s">
        <v>1283</v>
      </c>
      <c r="E94" s="697">
        <v>1</v>
      </c>
      <c r="F94" s="13"/>
      <c r="G94" s="790">
        <f t="shared" si="5"/>
        <v>0</v>
      </c>
    </row>
    <row r="95" spans="2:7">
      <c r="B95" s="705">
        <v>8</v>
      </c>
      <c r="C95" s="707" t="s">
        <v>1426</v>
      </c>
      <c r="D95" s="696" t="s">
        <v>1296</v>
      </c>
      <c r="E95" s="697">
        <v>10</v>
      </c>
      <c r="F95" s="13"/>
      <c r="G95" s="790">
        <f t="shared" si="5"/>
        <v>0</v>
      </c>
    </row>
    <row r="96" spans="2:7">
      <c r="B96" s="705">
        <v>9</v>
      </c>
      <c r="C96" s="707" t="s">
        <v>1427</v>
      </c>
      <c r="D96" s="696" t="s">
        <v>1283</v>
      </c>
      <c r="E96" s="697">
        <v>1</v>
      </c>
      <c r="F96" s="13"/>
      <c r="G96" s="790">
        <f t="shared" si="5"/>
        <v>0</v>
      </c>
    </row>
    <row r="97" spans="2:7">
      <c r="B97" s="705">
        <v>10</v>
      </c>
      <c r="C97" s="707" t="s">
        <v>1453</v>
      </c>
      <c r="D97" s="696" t="s">
        <v>1296</v>
      </c>
      <c r="E97" s="697">
        <v>10</v>
      </c>
      <c r="F97" s="13"/>
      <c r="G97" s="790">
        <f t="shared" si="5"/>
        <v>0</v>
      </c>
    </row>
    <row r="98" spans="2:7">
      <c r="B98" s="705">
        <v>11</v>
      </c>
      <c r="C98" s="707" t="s">
        <v>1429</v>
      </c>
      <c r="D98" s="696" t="s">
        <v>1296</v>
      </c>
      <c r="E98" s="697">
        <v>50</v>
      </c>
      <c r="F98" s="13"/>
      <c r="G98" s="790">
        <f t="shared" si="5"/>
        <v>0</v>
      </c>
    </row>
    <row r="99" spans="2:7">
      <c r="B99" s="705">
        <v>12</v>
      </c>
      <c r="C99" s="707" t="s">
        <v>1430</v>
      </c>
      <c r="D99" s="696" t="s">
        <v>1296</v>
      </c>
      <c r="E99" s="697">
        <v>50</v>
      </c>
      <c r="F99" s="13"/>
      <c r="G99" s="790">
        <f t="shared" si="5"/>
        <v>0</v>
      </c>
    </row>
    <row r="100" spans="2:7">
      <c r="B100" s="705">
        <v>13</v>
      </c>
      <c r="C100" s="707" t="s">
        <v>1434</v>
      </c>
      <c r="D100" s="696" t="s">
        <v>1296</v>
      </c>
      <c r="E100" s="697">
        <v>5</v>
      </c>
      <c r="F100" s="13"/>
      <c r="G100" s="790">
        <f t="shared" si="5"/>
        <v>0</v>
      </c>
    </row>
    <row r="101" spans="2:7">
      <c r="B101" s="705">
        <v>14</v>
      </c>
      <c r="C101" s="707" t="s">
        <v>1435</v>
      </c>
      <c r="D101" s="696" t="s">
        <v>1436</v>
      </c>
      <c r="E101" s="697">
        <v>1</v>
      </c>
      <c r="F101" s="13"/>
      <c r="G101" s="790">
        <f t="shared" si="5"/>
        <v>0</v>
      </c>
    </row>
    <row r="102" spans="2:7">
      <c r="B102" s="705">
        <v>15</v>
      </c>
      <c r="C102" s="707" t="s">
        <v>1437</v>
      </c>
      <c r="D102" s="696" t="s">
        <v>1436</v>
      </c>
      <c r="E102" s="697">
        <v>1</v>
      </c>
      <c r="F102" s="13"/>
      <c r="G102" s="790">
        <f t="shared" si="5"/>
        <v>0</v>
      </c>
    </row>
    <row r="103" spans="2:7">
      <c r="B103" s="705"/>
      <c r="C103" s="707"/>
      <c r="D103" s="696"/>
      <c r="E103" s="697"/>
      <c r="F103" s="697"/>
      <c r="G103" s="790"/>
    </row>
    <row r="104" spans="2:7">
      <c r="B104" s="705"/>
      <c r="C104" s="708" t="s">
        <v>1468</v>
      </c>
      <c r="D104" s="692"/>
      <c r="E104" s="693"/>
      <c r="F104" s="693"/>
      <c r="G104" s="717"/>
    </row>
    <row r="105" spans="2:7">
      <c r="B105" s="709"/>
      <c r="C105" s="710" t="s">
        <v>1887</v>
      </c>
      <c r="D105" s="711"/>
      <c r="E105" s="697"/>
      <c r="F105" s="697"/>
      <c r="G105" s="790"/>
    </row>
    <row r="106" spans="2:7">
      <c r="B106" s="705">
        <v>16</v>
      </c>
      <c r="C106" s="707" t="s">
        <v>1455</v>
      </c>
      <c r="D106" s="696" t="s">
        <v>1296</v>
      </c>
      <c r="E106" s="697">
        <v>5</v>
      </c>
      <c r="F106" s="13"/>
      <c r="G106" s="790">
        <f t="shared" si="5"/>
        <v>0</v>
      </c>
    </row>
    <row r="107" spans="2:7">
      <c r="B107" s="705">
        <v>17</v>
      </c>
      <c r="C107" s="707" t="s">
        <v>1456</v>
      </c>
      <c r="D107" s="696" t="s">
        <v>1296</v>
      </c>
      <c r="E107" s="697">
        <v>200</v>
      </c>
      <c r="F107" s="13"/>
      <c r="G107" s="790">
        <f t="shared" si="5"/>
        <v>0</v>
      </c>
    </row>
    <row r="108" spans="2:7">
      <c r="B108" s="705">
        <v>18</v>
      </c>
      <c r="C108" s="707" t="s">
        <v>1457</v>
      </c>
      <c r="D108" s="696" t="s">
        <v>1296</v>
      </c>
      <c r="E108" s="697">
        <v>1600</v>
      </c>
      <c r="F108" s="13"/>
      <c r="G108" s="790">
        <f t="shared" si="5"/>
        <v>0</v>
      </c>
    </row>
    <row r="109" spans="2:7">
      <c r="B109" s="705">
        <v>19</v>
      </c>
      <c r="C109" s="707" t="s">
        <v>1458</v>
      </c>
      <c r="D109" s="696" t="s">
        <v>1296</v>
      </c>
      <c r="E109" s="697">
        <v>1400</v>
      </c>
      <c r="F109" s="13"/>
      <c r="G109" s="790">
        <f t="shared" si="5"/>
        <v>0</v>
      </c>
    </row>
    <row r="110" spans="2:7">
      <c r="B110" s="705">
        <v>20</v>
      </c>
      <c r="C110" s="707" t="s">
        <v>1459</v>
      </c>
      <c r="D110" s="696" t="s">
        <v>1283</v>
      </c>
      <c r="E110" s="697">
        <v>60</v>
      </c>
      <c r="F110" s="13"/>
      <c r="G110" s="790">
        <f t="shared" si="5"/>
        <v>0</v>
      </c>
    </row>
    <row r="111" spans="2:7">
      <c r="B111" s="705">
        <v>21</v>
      </c>
      <c r="C111" s="707" t="s">
        <v>1460</v>
      </c>
      <c r="D111" s="696" t="s">
        <v>24</v>
      </c>
      <c r="E111" s="697">
        <v>14</v>
      </c>
      <c r="F111" s="13"/>
      <c r="G111" s="790">
        <f t="shared" si="5"/>
        <v>0</v>
      </c>
    </row>
    <row r="112" spans="2:7">
      <c r="B112" s="705">
        <v>22</v>
      </c>
      <c r="C112" s="707" t="s">
        <v>1461</v>
      </c>
      <c r="D112" s="696" t="s">
        <v>24</v>
      </c>
      <c r="E112" s="697">
        <v>15</v>
      </c>
      <c r="F112" s="13"/>
      <c r="G112" s="790">
        <f t="shared" si="5"/>
        <v>0</v>
      </c>
    </row>
    <row r="113" spans="2:7">
      <c r="B113" s="705">
        <v>23</v>
      </c>
      <c r="C113" s="707" t="s">
        <v>1462</v>
      </c>
      <c r="D113" s="696" t="s">
        <v>24</v>
      </c>
      <c r="E113" s="697">
        <v>50</v>
      </c>
      <c r="F113" s="13"/>
      <c r="G113" s="790">
        <f t="shared" si="5"/>
        <v>0</v>
      </c>
    </row>
    <row r="114" spans="2:7">
      <c r="B114" s="705">
        <v>24</v>
      </c>
      <c r="C114" s="707" t="s">
        <v>1463</v>
      </c>
      <c r="D114" s="696" t="s">
        <v>1296</v>
      </c>
      <c r="E114" s="697">
        <v>1300</v>
      </c>
      <c r="F114" s="13"/>
      <c r="G114" s="790">
        <f t="shared" si="5"/>
        <v>0</v>
      </c>
    </row>
    <row r="115" spans="2:7">
      <c r="B115" s="705">
        <v>25</v>
      </c>
      <c r="C115" s="707" t="s">
        <v>1464</v>
      </c>
      <c r="D115" s="696" t="s">
        <v>24</v>
      </c>
      <c r="E115" s="697">
        <v>25</v>
      </c>
      <c r="F115" s="13"/>
      <c r="G115" s="790">
        <f t="shared" si="5"/>
        <v>0</v>
      </c>
    </row>
    <row r="116" spans="2:7">
      <c r="B116" s="705">
        <v>26</v>
      </c>
      <c r="C116" s="707" t="s">
        <v>1465</v>
      </c>
      <c r="D116" s="696" t="s">
        <v>24</v>
      </c>
      <c r="E116" s="697">
        <v>55</v>
      </c>
      <c r="F116" s="13"/>
      <c r="G116" s="790">
        <f t="shared" si="5"/>
        <v>0</v>
      </c>
    </row>
    <row r="117" spans="2:7">
      <c r="B117" s="705">
        <v>27</v>
      </c>
      <c r="C117" s="707" t="s">
        <v>1466</v>
      </c>
      <c r="D117" s="696" t="s">
        <v>24</v>
      </c>
      <c r="E117" s="697">
        <v>150</v>
      </c>
      <c r="F117" s="13"/>
      <c r="G117" s="790">
        <f t="shared" si="5"/>
        <v>0</v>
      </c>
    </row>
    <row r="118" spans="2:7">
      <c r="B118" s="705">
        <v>28</v>
      </c>
      <c r="C118" s="707" t="s">
        <v>1435</v>
      </c>
      <c r="D118" s="696" t="s">
        <v>1436</v>
      </c>
      <c r="E118" s="697">
        <v>1</v>
      </c>
      <c r="F118" s="13"/>
      <c r="G118" s="790">
        <f t="shared" si="5"/>
        <v>0</v>
      </c>
    </row>
    <row r="119" spans="2:7">
      <c r="B119" s="705">
        <v>29</v>
      </c>
      <c r="C119" s="712" t="s">
        <v>1437</v>
      </c>
      <c r="D119" s="713" t="s">
        <v>1436</v>
      </c>
      <c r="E119" s="722">
        <v>1</v>
      </c>
      <c r="F119" s="14"/>
      <c r="G119" s="790">
        <f t="shared" si="5"/>
        <v>0</v>
      </c>
    </row>
    <row r="120" spans="2:7">
      <c r="B120" s="714"/>
      <c r="C120" s="715" t="s">
        <v>1444</v>
      </c>
      <c r="D120" s="716"/>
      <c r="E120" s="796"/>
      <c r="F120" s="797"/>
      <c r="G120" s="795">
        <f>SUM(G88:G119)</f>
        <v>0</v>
      </c>
    </row>
    <row r="121" spans="2:7">
      <c r="F121" s="785"/>
    </row>
    <row r="122" spans="2:7">
      <c r="F122" s="785"/>
    </row>
    <row r="123" spans="2:7">
      <c r="B123" s="675" t="s">
        <v>1407</v>
      </c>
      <c r="C123" s="676" t="s">
        <v>1408</v>
      </c>
      <c r="D123" s="677" t="s">
        <v>1409</v>
      </c>
      <c r="E123" s="787" t="s">
        <v>1410</v>
      </c>
      <c r="F123" s="787" t="s">
        <v>1411</v>
      </c>
      <c r="G123" s="788" t="s">
        <v>1412</v>
      </c>
    </row>
    <row r="124" spans="2:7">
      <c r="B124" s="675" t="s">
        <v>1413</v>
      </c>
      <c r="C124" s="676" t="s">
        <v>1469</v>
      </c>
      <c r="D124" s="677" t="s">
        <v>1414</v>
      </c>
      <c r="E124" s="787"/>
      <c r="F124" s="787"/>
      <c r="G124" s="788" t="s">
        <v>1446</v>
      </c>
    </row>
    <row r="125" spans="2:7">
      <c r="B125" s="705"/>
      <c r="C125" s="706"/>
      <c r="D125" s="681"/>
      <c r="E125" s="789"/>
      <c r="F125" s="789"/>
      <c r="G125" s="789"/>
    </row>
    <row r="126" spans="2:7">
      <c r="B126" s="705" t="s">
        <v>1891</v>
      </c>
      <c r="C126" s="682" t="s">
        <v>1416</v>
      </c>
      <c r="D126" s="681"/>
      <c r="E126" s="789"/>
      <c r="F126" s="789"/>
      <c r="G126" s="789"/>
    </row>
    <row r="127" spans="2:7" ht="20.25">
      <c r="B127" s="705">
        <v>1</v>
      </c>
      <c r="C127" s="707" t="s">
        <v>1417</v>
      </c>
      <c r="D127" s="696" t="s">
        <v>1283</v>
      </c>
      <c r="E127" s="697">
        <v>1</v>
      </c>
      <c r="F127" s="13"/>
      <c r="G127" s="790">
        <f t="shared" ref="G127:G141" si="6">E127*F127</f>
        <v>0</v>
      </c>
    </row>
    <row r="128" spans="2:7">
      <c r="B128" s="705">
        <v>2</v>
      </c>
      <c r="C128" s="707" t="s">
        <v>1448</v>
      </c>
      <c r="D128" s="696" t="s">
        <v>24</v>
      </c>
      <c r="E128" s="697">
        <v>1</v>
      </c>
      <c r="F128" s="13"/>
      <c r="G128" s="790">
        <f t="shared" si="6"/>
        <v>0</v>
      </c>
    </row>
    <row r="129" spans="2:7">
      <c r="B129" s="705">
        <v>3</v>
      </c>
      <c r="C129" s="707" t="s">
        <v>1449</v>
      </c>
      <c r="D129" s="696" t="s">
        <v>1283</v>
      </c>
      <c r="E129" s="697">
        <v>1</v>
      </c>
      <c r="F129" s="13"/>
      <c r="G129" s="790">
        <f t="shared" si="6"/>
        <v>0</v>
      </c>
    </row>
    <row r="130" spans="2:7">
      <c r="B130" s="705">
        <v>4</v>
      </c>
      <c r="C130" s="707" t="s">
        <v>1450</v>
      </c>
      <c r="D130" s="696" t="s">
        <v>1283</v>
      </c>
      <c r="E130" s="697">
        <v>7</v>
      </c>
      <c r="F130" s="13"/>
      <c r="G130" s="790">
        <f t="shared" si="6"/>
        <v>0</v>
      </c>
    </row>
    <row r="131" spans="2:7">
      <c r="B131" s="705">
        <v>5</v>
      </c>
      <c r="C131" s="707" t="s">
        <v>1451</v>
      </c>
      <c r="D131" s="696" t="s">
        <v>1283</v>
      </c>
      <c r="E131" s="697">
        <v>20</v>
      </c>
      <c r="F131" s="13"/>
      <c r="G131" s="790">
        <f t="shared" si="6"/>
        <v>0</v>
      </c>
    </row>
    <row r="132" spans="2:7">
      <c r="B132" s="705">
        <v>6</v>
      </c>
      <c r="C132" s="707" t="s">
        <v>1452</v>
      </c>
      <c r="D132" s="696" t="s">
        <v>1283</v>
      </c>
      <c r="E132" s="697">
        <v>1</v>
      </c>
      <c r="F132" s="13"/>
      <c r="G132" s="790">
        <f t="shared" si="6"/>
        <v>0</v>
      </c>
    </row>
    <row r="133" spans="2:7">
      <c r="B133" s="705">
        <v>7</v>
      </c>
      <c r="C133" s="707" t="s">
        <v>1425</v>
      </c>
      <c r="D133" s="696" t="s">
        <v>1283</v>
      </c>
      <c r="E133" s="697">
        <v>1</v>
      </c>
      <c r="F133" s="13"/>
      <c r="G133" s="790">
        <f t="shared" si="6"/>
        <v>0</v>
      </c>
    </row>
    <row r="134" spans="2:7">
      <c r="B134" s="705">
        <v>8</v>
      </c>
      <c r="C134" s="707" t="s">
        <v>1426</v>
      </c>
      <c r="D134" s="696" t="s">
        <v>1296</v>
      </c>
      <c r="E134" s="697">
        <v>10</v>
      </c>
      <c r="F134" s="13"/>
      <c r="G134" s="790">
        <f t="shared" si="6"/>
        <v>0</v>
      </c>
    </row>
    <row r="135" spans="2:7">
      <c r="B135" s="705">
        <v>9</v>
      </c>
      <c r="C135" s="707" t="s">
        <v>1427</v>
      </c>
      <c r="D135" s="696" t="s">
        <v>1283</v>
      </c>
      <c r="E135" s="697">
        <v>1</v>
      </c>
      <c r="F135" s="13"/>
      <c r="G135" s="790">
        <f t="shared" si="6"/>
        <v>0</v>
      </c>
    </row>
    <row r="136" spans="2:7">
      <c r="B136" s="705">
        <v>10</v>
      </c>
      <c r="C136" s="707" t="s">
        <v>1453</v>
      </c>
      <c r="D136" s="696" t="s">
        <v>1296</v>
      </c>
      <c r="E136" s="697">
        <v>10</v>
      </c>
      <c r="F136" s="13"/>
      <c r="G136" s="790">
        <f t="shared" si="6"/>
        <v>0</v>
      </c>
    </row>
    <row r="137" spans="2:7">
      <c r="B137" s="705">
        <v>11</v>
      </c>
      <c r="C137" s="707" t="s">
        <v>1429</v>
      </c>
      <c r="D137" s="696" t="s">
        <v>1296</v>
      </c>
      <c r="E137" s="697">
        <v>50</v>
      </c>
      <c r="F137" s="13"/>
      <c r="G137" s="790">
        <f t="shared" si="6"/>
        <v>0</v>
      </c>
    </row>
    <row r="138" spans="2:7">
      <c r="B138" s="705">
        <v>12</v>
      </c>
      <c r="C138" s="707" t="s">
        <v>1430</v>
      </c>
      <c r="D138" s="696" t="s">
        <v>1296</v>
      </c>
      <c r="E138" s="697">
        <v>50</v>
      </c>
      <c r="F138" s="13"/>
      <c r="G138" s="790">
        <f t="shared" si="6"/>
        <v>0</v>
      </c>
    </row>
    <row r="139" spans="2:7">
      <c r="B139" s="705">
        <v>13</v>
      </c>
      <c r="C139" s="707" t="s">
        <v>1434</v>
      </c>
      <c r="D139" s="696" t="s">
        <v>1296</v>
      </c>
      <c r="E139" s="697">
        <v>5</v>
      </c>
      <c r="F139" s="13"/>
      <c r="G139" s="790">
        <f t="shared" si="6"/>
        <v>0</v>
      </c>
    </row>
    <row r="140" spans="2:7">
      <c r="B140" s="705">
        <v>14</v>
      </c>
      <c r="C140" s="707" t="s">
        <v>1435</v>
      </c>
      <c r="D140" s="696" t="s">
        <v>1436</v>
      </c>
      <c r="E140" s="697">
        <v>1</v>
      </c>
      <c r="F140" s="13"/>
      <c r="G140" s="790">
        <f t="shared" si="6"/>
        <v>0</v>
      </c>
    </row>
    <row r="141" spans="2:7">
      <c r="B141" s="705">
        <v>15</v>
      </c>
      <c r="C141" s="707" t="s">
        <v>1437</v>
      </c>
      <c r="D141" s="696" t="s">
        <v>1436</v>
      </c>
      <c r="E141" s="697">
        <v>1</v>
      </c>
      <c r="F141" s="13"/>
      <c r="G141" s="790">
        <f t="shared" si="6"/>
        <v>0</v>
      </c>
    </row>
    <row r="142" spans="2:7">
      <c r="B142" s="705"/>
      <c r="C142" s="707"/>
      <c r="D142" s="696"/>
      <c r="E142" s="697"/>
      <c r="F142" s="697"/>
      <c r="G142" s="789"/>
    </row>
    <row r="143" spans="2:7">
      <c r="B143" s="705"/>
      <c r="C143" s="708" t="s">
        <v>1470</v>
      </c>
      <c r="D143" s="692"/>
      <c r="E143" s="693"/>
      <c r="F143" s="693"/>
      <c r="G143" s="791"/>
    </row>
    <row r="144" spans="2:7">
      <c r="B144" s="705"/>
      <c r="C144" s="710" t="s">
        <v>1887</v>
      </c>
      <c r="D144" s="696"/>
      <c r="E144" s="697"/>
      <c r="F144" s="697"/>
      <c r="G144" s="789"/>
    </row>
    <row r="145" spans="2:7">
      <c r="B145" s="705">
        <v>16</v>
      </c>
      <c r="C145" s="707" t="s">
        <v>1455</v>
      </c>
      <c r="D145" s="696" t="s">
        <v>1296</v>
      </c>
      <c r="E145" s="697">
        <v>5</v>
      </c>
      <c r="F145" s="13"/>
      <c r="G145" s="790">
        <f t="shared" ref="G145:G158" si="7">E145*F145</f>
        <v>0</v>
      </c>
    </row>
    <row r="146" spans="2:7">
      <c r="B146" s="705">
        <v>17</v>
      </c>
      <c r="C146" s="707" t="s">
        <v>1456</v>
      </c>
      <c r="D146" s="696" t="s">
        <v>1296</v>
      </c>
      <c r="E146" s="697">
        <v>200</v>
      </c>
      <c r="F146" s="13"/>
      <c r="G146" s="790">
        <f t="shared" si="7"/>
        <v>0</v>
      </c>
    </row>
    <row r="147" spans="2:7">
      <c r="B147" s="705">
        <v>18</v>
      </c>
      <c r="C147" s="707" t="s">
        <v>1457</v>
      </c>
      <c r="D147" s="696" t="s">
        <v>1296</v>
      </c>
      <c r="E147" s="697">
        <v>1200</v>
      </c>
      <c r="F147" s="13"/>
      <c r="G147" s="790">
        <f t="shared" si="7"/>
        <v>0</v>
      </c>
    </row>
    <row r="148" spans="2:7">
      <c r="B148" s="705">
        <v>19</v>
      </c>
      <c r="C148" s="707" t="s">
        <v>1458</v>
      </c>
      <c r="D148" s="696" t="s">
        <v>1296</v>
      </c>
      <c r="E148" s="697">
        <v>700</v>
      </c>
      <c r="F148" s="13"/>
      <c r="G148" s="790">
        <f t="shared" si="7"/>
        <v>0</v>
      </c>
    </row>
    <row r="149" spans="2:7">
      <c r="B149" s="705">
        <v>20</v>
      </c>
      <c r="C149" s="707" t="s">
        <v>1459</v>
      </c>
      <c r="D149" s="696" t="s">
        <v>1283</v>
      </c>
      <c r="E149" s="697">
        <v>18</v>
      </c>
      <c r="F149" s="13"/>
      <c r="G149" s="790">
        <f t="shared" si="7"/>
        <v>0</v>
      </c>
    </row>
    <row r="150" spans="2:7">
      <c r="B150" s="705">
        <v>21</v>
      </c>
      <c r="C150" s="707" t="s">
        <v>1460</v>
      </c>
      <c r="D150" s="696" t="s">
        <v>24</v>
      </c>
      <c r="E150" s="697">
        <v>8</v>
      </c>
      <c r="F150" s="13"/>
      <c r="G150" s="790">
        <f t="shared" si="7"/>
        <v>0</v>
      </c>
    </row>
    <row r="151" spans="2:7">
      <c r="B151" s="705">
        <v>22</v>
      </c>
      <c r="C151" s="707" t="s">
        <v>1461</v>
      </c>
      <c r="D151" s="696" t="s">
        <v>24</v>
      </c>
      <c r="E151" s="697">
        <v>25</v>
      </c>
      <c r="F151" s="13"/>
      <c r="G151" s="790">
        <f t="shared" si="7"/>
        <v>0</v>
      </c>
    </row>
    <row r="152" spans="2:7">
      <c r="B152" s="705">
        <v>23</v>
      </c>
      <c r="C152" s="707" t="s">
        <v>1462</v>
      </c>
      <c r="D152" s="696" t="s">
        <v>24</v>
      </c>
      <c r="E152" s="697">
        <v>20</v>
      </c>
      <c r="F152" s="13"/>
      <c r="G152" s="790">
        <f t="shared" si="7"/>
        <v>0</v>
      </c>
    </row>
    <row r="153" spans="2:7">
      <c r="B153" s="705">
        <v>24</v>
      </c>
      <c r="C153" s="707" t="s">
        <v>1463</v>
      </c>
      <c r="D153" s="696" t="s">
        <v>1296</v>
      </c>
      <c r="E153" s="697">
        <v>500</v>
      </c>
      <c r="F153" s="13"/>
      <c r="G153" s="790">
        <f t="shared" si="7"/>
        <v>0</v>
      </c>
    </row>
    <row r="154" spans="2:7">
      <c r="B154" s="705">
        <v>25</v>
      </c>
      <c r="C154" s="707" t="s">
        <v>1464</v>
      </c>
      <c r="D154" s="696" t="s">
        <v>24</v>
      </c>
      <c r="E154" s="697">
        <v>12</v>
      </c>
      <c r="F154" s="13"/>
      <c r="G154" s="790">
        <f t="shared" si="7"/>
        <v>0</v>
      </c>
    </row>
    <row r="155" spans="2:7">
      <c r="B155" s="705">
        <v>26</v>
      </c>
      <c r="C155" s="707" t="s">
        <v>1465</v>
      </c>
      <c r="D155" s="696" t="s">
        <v>24</v>
      </c>
      <c r="E155" s="697">
        <v>35</v>
      </c>
      <c r="F155" s="13"/>
      <c r="G155" s="790">
        <f t="shared" si="7"/>
        <v>0</v>
      </c>
    </row>
    <row r="156" spans="2:7">
      <c r="B156" s="705">
        <v>27</v>
      </c>
      <c r="C156" s="707" t="s">
        <v>1466</v>
      </c>
      <c r="D156" s="696" t="s">
        <v>24</v>
      </c>
      <c r="E156" s="697">
        <v>90</v>
      </c>
      <c r="F156" s="13"/>
      <c r="G156" s="790">
        <f t="shared" si="7"/>
        <v>0</v>
      </c>
    </row>
    <row r="157" spans="2:7">
      <c r="B157" s="705">
        <v>28</v>
      </c>
      <c r="C157" s="707" t="s">
        <v>1435</v>
      </c>
      <c r="D157" s="696" t="s">
        <v>1436</v>
      </c>
      <c r="E157" s="697">
        <v>1</v>
      </c>
      <c r="F157" s="13"/>
      <c r="G157" s="790">
        <f t="shared" si="7"/>
        <v>0</v>
      </c>
    </row>
    <row r="158" spans="2:7">
      <c r="B158" s="705">
        <v>29</v>
      </c>
      <c r="C158" s="712" t="s">
        <v>1437</v>
      </c>
      <c r="D158" s="713" t="s">
        <v>1436</v>
      </c>
      <c r="E158" s="722">
        <v>1</v>
      </c>
      <c r="F158" s="14"/>
      <c r="G158" s="790">
        <f t="shared" si="7"/>
        <v>0</v>
      </c>
    </row>
    <row r="159" spans="2:7">
      <c r="B159" s="714"/>
      <c r="C159" s="715" t="s">
        <v>1444</v>
      </c>
      <c r="D159" s="716"/>
      <c r="E159" s="796"/>
      <c r="F159" s="797"/>
      <c r="G159" s="795">
        <f>SUM(G127:G158)</f>
        <v>0</v>
      </c>
    </row>
    <row r="160" spans="2:7">
      <c r="F160" s="785"/>
    </row>
    <row r="161" spans="2:7">
      <c r="F161" s="785"/>
    </row>
    <row r="162" spans="2:7">
      <c r="B162" s="675" t="s">
        <v>1407</v>
      </c>
      <c r="C162" s="676" t="s">
        <v>1408</v>
      </c>
      <c r="D162" s="677" t="s">
        <v>1409</v>
      </c>
      <c r="E162" s="787" t="s">
        <v>1410</v>
      </c>
      <c r="F162" s="787" t="s">
        <v>1411</v>
      </c>
      <c r="G162" s="788" t="s">
        <v>1412</v>
      </c>
    </row>
    <row r="163" spans="2:7">
      <c r="B163" s="675" t="s">
        <v>1413</v>
      </c>
      <c r="C163" s="676" t="s">
        <v>1471</v>
      </c>
      <c r="D163" s="677" t="s">
        <v>1414</v>
      </c>
      <c r="E163" s="787"/>
      <c r="F163" s="787"/>
      <c r="G163" s="788" t="s">
        <v>1446</v>
      </c>
    </row>
    <row r="164" spans="2:7">
      <c r="B164" s="705"/>
      <c r="C164" s="706"/>
      <c r="D164" s="681"/>
      <c r="E164" s="789"/>
      <c r="F164" s="789"/>
      <c r="G164" s="789"/>
    </row>
    <row r="165" spans="2:7">
      <c r="B165" s="705" t="s">
        <v>1892</v>
      </c>
      <c r="C165" s="682" t="s">
        <v>1416</v>
      </c>
      <c r="D165" s="681"/>
      <c r="E165" s="789"/>
      <c r="F165" s="789"/>
      <c r="G165" s="789"/>
    </row>
    <row r="166" spans="2:7" ht="20.25">
      <c r="B166" s="705">
        <v>1</v>
      </c>
      <c r="C166" s="707" t="s">
        <v>1417</v>
      </c>
      <c r="D166" s="696" t="s">
        <v>1283</v>
      </c>
      <c r="E166" s="697">
        <v>1</v>
      </c>
      <c r="F166" s="13"/>
      <c r="G166" s="790">
        <f t="shared" ref="G166:G180" si="8">E166*F166</f>
        <v>0</v>
      </c>
    </row>
    <row r="167" spans="2:7">
      <c r="B167" s="705">
        <v>2</v>
      </c>
      <c r="C167" s="707" t="s">
        <v>1448</v>
      </c>
      <c r="D167" s="696" t="s">
        <v>24</v>
      </c>
      <c r="E167" s="697">
        <v>1</v>
      </c>
      <c r="F167" s="13"/>
      <c r="G167" s="790">
        <f t="shared" si="8"/>
        <v>0</v>
      </c>
    </row>
    <row r="168" spans="2:7">
      <c r="B168" s="705">
        <v>3</v>
      </c>
      <c r="C168" s="707" t="s">
        <v>1449</v>
      </c>
      <c r="D168" s="696" t="s">
        <v>1283</v>
      </c>
      <c r="E168" s="697">
        <v>1</v>
      </c>
      <c r="F168" s="13"/>
      <c r="G168" s="790">
        <f t="shared" si="8"/>
        <v>0</v>
      </c>
    </row>
    <row r="169" spans="2:7">
      <c r="B169" s="705">
        <v>4</v>
      </c>
      <c r="C169" s="707" t="s">
        <v>1450</v>
      </c>
      <c r="D169" s="696" t="s">
        <v>1283</v>
      </c>
      <c r="E169" s="697">
        <v>7</v>
      </c>
      <c r="F169" s="13"/>
      <c r="G169" s="790">
        <f t="shared" si="8"/>
        <v>0</v>
      </c>
    </row>
    <row r="170" spans="2:7">
      <c r="B170" s="705">
        <v>5</v>
      </c>
      <c r="C170" s="707" t="s">
        <v>1451</v>
      </c>
      <c r="D170" s="696" t="s">
        <v>1283</v>
      </c>
      <c r="E170" s="697">
        <v>20</v>
      </c>
      <c r="F170" s="13"/>
      <c r="G170" s="790">
        <f t="shared" si="8"/>
        <v>0</v>
      </c>
    </row>
    <row r="171" spans="2:7">
      <c r="B171" s="705">
        <v>6</v>
      </c>
      <c r="C171" s="707" t="s">
        <v>1452</v>
      </c>
      <c r="D171" s="696" t="s">
        <v>1283</v>
      </c>
      <c r="E171" s="697">
        <v>1</v>
      </c>
      <c r="F171" s="13"/>
      <c r="G171" s="790">
        <f t="shared" si="8"/>
        <v>0</v>
      </c>
    </row>
    <row r="172" spans="2:7">
      <c r="B172" s="705">
        <v>7</v>
      </c>
      <c r="C172" s="707" t="s">
        <v>1425</v>
      </c>
      <c r="D172" s="696" t="s">
        <v>1283</v>
      </c>
      <c r="E172" s="697">
        <v>1</v>
      </c>
      <c r="F172" s="13"/>
      <c r="G172" s="790">
        <f t="shared" si="8"/>
        <v>0</v>
      </c>
    </row>
    <row r="173" spans="2:7">
      <c r="B173" s="705">
        <v>8</v>
      </c>
      <c r="C173" s="707" t="s">
        <v>1426</v>
      </c>
      <c r="D173" s="696" t="s">
        <v>1296</v>
      </c>
      <c r="E173" s="697">
        <v>10</v>
      </c>
      <c r="F173" s="13"/>
      <c r="G173" s="790">
        <f t="shared" si="8"/>
        <v>0</v>
      </c>
    </row>
    <row r="174" spans="2:7">
      <c r="B174" s="705">
        <v>9</v>
      </c>
      <c r="C174" s="707" t="s">
        <v>1427</v>
      </c>
      <c r="D174" s="696" t="s">
        <v>1283</v>
      </c>
      <c r="E174" s="697">
        <v>1</v>
      </c>
      <c r="F174" s="13"/>
      <c r="G174" s="790">
        <f t="shared" si="8"/>
        <v>0</v>
      </c>
    </row>
    <row r="175" spans="2:7">
      <c r="B175" s="705">
        <v>10</v>
      </c>
      <c r="C175" s="707" t="s">
        <v>1453</v>
      </c>
      <c r="D175" s="696" t="s">
        <v>1296</v>
      </c>
      <c r="E175" s="697">
        <v>10</v>
      </c>
      <c r="F175" s="13"/>
      <c r="G175" s="790">
        <f t="shared" si="8"/>
        <v>0</v>
      </c>
    </row>
    <row r="176" spans="2:7">
      <c r="B176" s="705">
        <v>11</v>
      </c>
      <c r="C176" s="707" t="s">
        <v>1429</v>
      </c>
      <c r="D176" s="696" t="s">
        <v>1296</v>
      </c>
      <c r="E176" s="697">
        <v>50</v>
      </c>
      <c r="F176" s="13"/>
      <c r="G176" s="790">
        <f t="shared" si="8"/>
        <v>0</v>
      </c>
    </row>
    <row r="177" spans="2:7">
      <c r="B177" s="705">
        <v>12</v>
      </c>
      <c r="C177" s="707" t="s">
        <v>1430</v>
      </c>
      <c r="D177" s="696" t="s">
        <v>1296</v>
      </c>
      <c r="E177" s="697">
        <v>50</v>
      </c>
      <c r="F177" s="13"/>
      <c r="G177" s="790">
        <f t="shared" si="8"/>
        <v>0</v>
      </c>
    </row>
    <row r="178" spans="2:7">
      <c r="B178" s="705">
        <v>13</v>
      </c>
      <c r="C178" s="707" t="s">
        <v>1434</v>
      </c>
      <c r="D178" s="696" t="s">
        <v>1296</v>
      </c>
      <c r="E178" s="697">
        <v>5</v>
      </c>
      <c r="F178" s="13"/>
      <c r="G178" s="790">
        <f t="shared" si="8"/>
        <v>0</v>
      </c>
    </row>
    <row r="179" spans="2:7">
      <c r="B179" s="705">
        <v>14</v>
      </c>
      <c r="C179" s="707" t="s">
        <v>1435</v>
      </c>
      <c r="D179" s="696" t="s">
        <v>1436</v>
      </c>
      <c r="E179" s="697">
        <v>1</v>
      </c>
      <c r="F179" s="13"/>
      <c r="G179" s="790">
        <f t="shared" si="8"/>
        <v>0</v>
      </c>
    </row>
    <row r="180" spans="2:7">
      <c r="B180" s="705">
        <v>15</v>
      </c>
      <c r="C180" s="707" t="s">
        <v>1437</v>
      </c>
      <c r="D180" s="696" t="s">
        <v>1436</v>
      </c>
      <c r="E180" s="697">
        <v>1</v>
      </c>
      <c r="F180" s="13"/>
      <c r="G180" s="790">
        <f t="shared" si="8"/>
        <v>0</v>
      </c>
    </row>
    <row r="181" spans="2:7">
      <c r="B181" s="705"/>
      <c r="C181" s="707"/>
      <c r="D181" s="696"/>
      <c r="E181" s="697"/>
      <c r="F181" s="697"/>
      <c r="G181" s="789"/>
    </row>
    <row r="182" spans="2:7">
      <c r="B182" s="705"/>
      <c r="C182" s="708" t="s">
        <v>1472</v>
      </c>
      <c r="D182" s="692"/>
      <c r="E182" s="693"/>
      <c r="F182" s="693"/>
      <c r="G182" s="791"/>
    </row>
    <row r="183" spans="2:7">
      <c r="B183" s="705"/>
      <c r="C183" s="710" t="s">
        <v>1887</v>
      </c>
      <c r="D183" s="696"/>
      <c r="E183" s="697"/>
      <c r="F183" s="697"/>
      <c r="G183" s="789"/>
    </row>
    <row r="184" spans="2:7">
      <c r="B184" s="705">
        <v>16</v>
      </c>
      <c r="C184" s="707" t="s">
        <v>1455</v>
      </c>
      <c r="D184" s="696" t="s">
        <v>1296</v>
      </c>
      <c r="E184" s="697">
        <v>5</v>
      </c>
      <c r="F184" s="13"/>
      <c r="G184" s="790">
        <f t="shared" ref="G184:G197" si="9">E184*F184</f>
        <v>0</v>
      </c>
    </row>
    <row r="185" spans="2:7">
      <c r="B185" s="705">
        <v>17</v>
      </c>
      <c r="C185" s="707" t="s">
        <v>1456</v>
      </c>
      <c r="D185" s="696" t="s">
        <v>1296</v>
      </c>
      <c r="E185" s="697">
        <v>200</v>
      </c>
      <c r="F185" s="13"/>
      <c r="G185" s="790">
        <f t="shared" si="9"/>
        <v>0</v>
      </c>
    </row>
    <row r="186" spans="2:7">
      <c r="B186" s="705">
        <v>18</v>
      </c>
      <c r="C186" s="707" t="s">
        <v>1457</v>
      </c>
      <c r="D186" s="696" t="s">
        <v>1296</v>
      </c>
      <c r="E186" s="697">
        <v>1200</v>
      </c>
      <c r="F186" s="13"/>
      <c r="G186" s="790">
        <f t="shared" si="9"/>
        <v>0</v>
      </c>
    </row>
    <row r="187" spans="2:7">
      <c r="B187" s="705">
        <v>19</v>
      </c>
      <c r="C187" s="707" t="s">
        <v>1458</v>
      </c>
      <c r="D187" s="696" t="s">
        <v>1296</v>
      </c>
      <c r="E187" s="697">
        <v>700</v>
      </c>
      <c r="F187" s="13"/>
      <c r="G187" s="790">
        <f t="shared" si="9"/>
        <v>0</v>
      </c>
    </row>
    <row r="188" spans="2:7">
      <c r="B188" s="705">
        <v>20</v>
      </c>
      <c r="C188" s="707" t="s">
        <v>1459</v>
      </c>
      <c r="D188" s="696" t="s">
        <v>1283</v>
      </c>
      <c r="E188" s="697">
        <v>15</v>
      </c>
      <c r="F188" s="13"/>
      <c r="G188" s="790">
        <f t="shared" si="9"/>
        <v>0</v>
      </c>
    </row>
    <row r="189" spans="2:7">
      <c r="B189" s="705">
        <v>21</v>
      </c>
      <c r="C189" s="707" t="s">
        <v>1460</v>
      </c>
      <c r="D189" s="696" t="s">
        <v>24</v>
      </c>
      <c r="E189" s="697">
        <v>8</v>
      </c>
      <c r="F189" s="13"/>
      <c r="G189" s="790">
        <f t="shared" si="9"/>
        <v>0</v>
      </c>
    </row>
    <row r="190" spans="2:7">
      <c r="B190" s="705">
        <v>22</v>
      </c>
      <c r="C190" s="707" t="s">
        <v>1461</v>
      </c>
      <c r="D190" s="696" t="s">
        <v>24</v>
      </c>
      <c r="E190" s="697">
        <v>24</v>
      </c>
      <c r="F190" s="13"/>
      <c r="G190" s="790">
        <f t="shared" si="9"/>
        <v>0</v>
      </c>
    </row>
    <row r="191" spans="2:7">
      <c r="B191" s="705">
        <v>23</v>
      </c>
      <c r="C191" s="707" t="s">
        <v>1462</v>
      </c>
      <c r="D191" s="696" t="s">
        <v>24</v>
      </c>
      <c r="E191" s="697">
        <v>20</v>
      </c>
      <c r="F191" s="13"/>
      <c r="G191" s="790">
        <f t="shared" si="9"/>
        <v>0</v>
      </c>
    </row>
    <row r="192" spans="2:7">
      <c r="B192" s="705">
        <v>24</v>
      </c>
      <c r="C192" s="707" t="s">
        <v>1463</v>
      </c>
      <c r="D192" s="696" t="s">
        <v>1296</v>
      </c>
      <c r="E192" s="697">
        <v>500</v>
      </c>
      <c r="F192" s="13"/>
      <c r="G192" s="790">
        <f t="shared" si="9"/>
        <v>0</v>
      </c>
    </row>
    <row r="193" spans="2:7">
      <c r="B193" s="705">
        <v>25</v>
      </c>
      <c r="C193" s="707" t="s">
        <v>1464</v>
      </c>
      <c r="D193" s="696" t="s">
        <v>24</v>
      </c>
      <c r="E193" s="697">
        <v>12</v>
      </c>
      <c r="F193" s="13"/>
      <c r="G193" s="790">
        <f t="shared" si="9"/>
        <v>0</v>
      </c>
    </row>
    <row r="194" spans="2:7">
      <c r="B194" s="705">
        <v>26</v>
      </c>
      <c r="C194" s="707" t="s">
        <v>1465</v>
      </c>
      <c r="D194" s="696" t="s">
        <v>24</v>
      </c>
      <c r="E194" s="697">
        <v>35</v>
      </c>
      <c r="F194" s="13"/>
      <c r="G194" s="790">
        <f t="shared" si="9"/>
        <v>0</v>
      </c>
    </row>
    <row r="195" spans="2:7">
      <c r="B195" s="705">
        <v>27</v>
      </c>
      <c r="C195" s="707" t="s">
        <v>1466</v>
      </c>
      <c r="D195" s="696" t="s">
        <v>24</v>
      </c>
      <c r="E195" s="697">
        <v>90</v>
      </c>
      <c r="F195" s="13"/>
      <c r="G195" s="790">
        <f t="shared" si="9"/>
        <v>0</v>
      </c>
    </row>
    <row r="196" spans="2:7">
      <c r="B196" s="705">
        <v>28</v>
      </c>
      <c r="C196" s="707" t="s">
        <v>1435</v>
      </c>
      <c r="D196" s="696" t="s">
        <v>1436</v>
      </c>
      <c r="E196" s="697">
        <v>1</v>
      </c>
      <c r="F196" s="13"/>
      <c r="G196" s="790">
        <f t="shared" si="9"/>
        <v>0</v>
      </c>
    </row>
    <row r="197" spans="2:7">
      <c r="B197" s="705">
        <v>29</v>
      </c>
      <c r="C197" s="712" t="s">
        <v>1437</v>
      </c>
      <c r="D197" s="713" t="s">
        <v>1436</v>
      </c>
      <c r="E197" s="722">
        <v>1</v>
      </c>
      <c r="F197" s="14"/>
      <c r="G197" s="790">
        <f t="shared" si="9"/>
        <v>0</v>
      </c>
    </row>
    <row r="198" spans="2:7">
      <c r="B198" s="714"/>
      <c r="C198" s="715" t="s">
        <v>1444</v>
      </c>
      <c r="D198" s="716"/>
      <c r="E198" s="796"/>
      <c r="F198" s="797"/>
      <c r="G198" s="795">
        <f>SUM(G166:G197)</f>
        <v>0</v>
      </c>
    </row>
    <row r="199" spans="2:7">
      <c r="F199" s="785"/>
    </row>
    <row r="200" spans="2:7">
      <c r="F200" s="785"/>
    </row>
    <row r="201" spans="2:7">
      <c r="B201" s="675" t="s">
        <v>1407</v>
      </c>
      <c r="C201" s="676" t="s">
        <v>1408</v>
      </c>
      <c r="D201" s="677" t="s">
        <v>1409</v>
      </c>
      <c r="E201" s="787" t="s">
        <v>1410</v>
      </c>
      <c r="F201" s="787" t="s">
        <v>1411</v>
      </c>
      <c r="G201" s="788" t="s">
        <v>1412</v>
      </c>
    </row>
    <row r="202" spans="2:7">
      <c r="B202" s="675" t="s">
        <v>1413</v>
      </c>
      <c r="C202" s="676" t="s">
        <v>1473</v>
      </c>
      <c r="D202" s="677" t="s">
        <v>1414</v>
      </c>
      <c r="E202" s="787"/>
      <c r="F202" s="787"/>
      <c r="G202" s="788" t="s">
        <v>1446</v>
      </c>
    </row>
    <row r="203" spans="2:7">
      <c r="B203" s="705"/>
      <c r="C203" s="706"/>
      <c r="D203" s="681"/>
      <c r="E203" s="789"/>
      <c r="F203" s="789"/>
      <c r="G203" s="789"/>
    </row>
    <row r="204" spans="2:7">
      <c r="B204" s="705" t="s">
        <v>1894</v>
      </c>
      <c r="C204" s="682" t="s">
        <v>1416</v>
      </c>
      <c r="D204" s="681"/>
      <c r="E204" s="789"/>
      <c r="F204" s="789"/>
      <c r="G204" s="789"/>
    </row>
    <row r="205" spans="2:7" ht="20.25">
      <c r="B205" s="705">
        <v>1</v>
      </c>
      <c r="C205" s="707" t="s">
        <v>1417</v>
      </c>
      <c r="D205" s="696" t="s">
        <v>1283</v>
      </c>
      <c r="E205" s="697">
        <v>1</v>
      </c>
      <c r="F205" s="13"/>
      <c r="G205" s="790">
        <f t="shared" ref="G205:G219" si="10">E205*F205</f>
        <v>0</v>
      </c>
    </row>
    <row r="206" spans="2:7">
      <c r="B206" s="705">
        <v>2</v>
      </c>
      <c r="C206" s="707" t="s">
        <v>1448</v>
      </c>
      <c r="D206" s="696" t="s">
        <v>24</v>
      </c>
      <c r="E206" s="697">
        <v>1</v>
      </c>
      <c r="F206" s="13"/>
      <c r="G206" s="790">
        <f t="shared" si="10"/>
        <v>0</v>
      </c>
    </row>
    <row r="207" spans="2:7">
      <c r="B207" s="705">
        <v>3</v>
      </c>
      <c r="C207" s="707" t="s">
        <v>1449</v>
      </c>
      <c r="D207" s="696" t="s">
        <v>1283</v>
      </c>
      <c r="E207" s="697">
        <v>1</v>
      </c>
      <c r="F207" s="13"/>
      <c r="G207" s="790">
        <f t="shared" si="10"/>
        <v>0</v>
      </c>
    </row>
    <row r="208" spans="2:7">
      <c r="B208" s="705">
        <v>4</v>
      </c>
      <c r="C208" s="707" t="s">
        <v>1450</v>
      </c>
      <c r="D208" s="696" t="s">
        <v>1283</v>
      </c>
      <c r="E208" s="697">
        <v>16</v>
      </c>
      <c r="F208" s="13"/>
      <c r="G208" s="790">
        <f t="shared" si="10"/>
        <v>0</v>
      </c>
    </row>
    <row r="209" spans="2:7">
      <c r="B209" s="705">
        <v>5</v>
      </c>
      <c r="C209" s="707" t="s">
        <v>1451</v>
      </c>
      <c r="D209" s="696" t="s">
        <v>1283</v>
      </c>
      <c r="E209" s="697">
        <v>50</v>
      </c>
      <c r="F209" s="13"/>
      <c r="G209" s="790">
        <f t="shared" si="10"/>
        <v>0</v>
      </c>
    </row>
    <row r="210" spans="2:7">
      <c r="B210" s="705">
        <v>6</v>
      </c>
      <c r="C210" s="707" t="s">
        <v>1452</v>
      </c>
      <c r="D210" s="696" t="s">
        <v>1283</v>
      </c>
      <c r="E210" s="697">
        <v>1</v>
      </c>
      <c r="F210" s="13"/>
      <c r="G210" s="790">
        <f t="shared" si="10"/>
        <v>0</v>
      </c>
    </row>
    <row r="211" spans="2:7">
      <c r="B211" s="705">
        <v>7</v>
      </c>
      <c r="C211" s="707" t="s">
        <v>1425</v>
      </c>
      <c r="D211" s="696" t="s">
        <v>1283</v>
      </c>
      <c r="E211" s="697">
        <v>1</v>
      </c>
      <c r="F211" s="13"/>
      <c r="G211" s="790">
        <f t="shared" si="10"/>
        <v>0</v>
      </c>
    </row>
    <row r="212" spans="2:7">
      <c r="B212" s="705">
        <v>8</v>
      </c>
      <c r="C212" s="707" t="s">
        <v>1426</v>
      </c>
      <c r="D212" s="696" t="s">
        <v>1296</v>
      </c>
      <c r="E212" s="697">
        <v>10</v>
      </c>
      <c r="F212" s="13"/>
      <c r="G212" s="790">
        <f t="shared" si="10"/>
        <v>0</v>
      </c>
    </row>
    <row r="213" spans="2:7">
      <c r="B213" s="705">
        <v>9</v>
      </c>
      <c r="C213" s="707" t="s">
        <v>1427</v>
      </c>
      <c r="D213" s="696" t="s">
        <v>1283</v>
      </c>
      <c r="E213" s="697">
        <v>1</v>
      </c>
      <c r="F213" s="13"/>
      <c r="G213" s="790">
        <f t="shared" si="10"/>
        <v>0</v>
      </c>
    </row>
    <row r="214" spans="2:7">
      <c r="B214" s="705">
        <v>10</v>
      </c>
      <c r="C214" s="707" t="s">
        <v>1453</v>
      </c>
      <c r="D214" s="696" t="s">
        <v>1296</v>
      </c>
      <c r="E214" s="697">
        <v>10</v>
      </c>
      <c r="F214" s="13"/>
      <c r="G214" s="790">
        <f t="shared" si="10"/>
        <v>0</v>
      </c>
    </row>
    <row r="215" spans="2:7">
      <c r="B215" s="705">
        <v>11</v>
      </c>
      <c r="C215" s="707" t="s">
        <v>1429</v>
      </c>
      <c r="D215" s="696" t="s">
        <v>1296</v>
      </c>
      <c r="E215" s="697">
        <v>50</v>
      </c>
      <c r="F215" s="13"/>
      <c r="G215" s="790">
        <f t="shared" si="10"/>
        <v>0</v>
      </c>
    </row>
    <row r="216" spans="2:7">
      <c r="B216" s="705">
        <v>12</v>
      </c>
      <c r="C216" s="707" t="s">
        <v>1430</v>
      </c>
      <c r="D216" s="696" t="s">
        <v>1296</v>
      </c>
      <c r="E216" s="697">
        <v>50</v>
      </c>
      <c r="F216" s="13"/>
      <c r="G216" s="790">
        <f t="shared" si="10"/>
        <v>0</v>
      </c>
    </row>
    <row r="217" spans="2:7">
      <c r="B217" s="705">
        <v>13</v>
      </c>
      <c r="C217" s="707" t="s">
        <v>1434</v>
      </c>
      <c r="D217" s="696" t="s">
        <v>1296</v>
      </c>
      <c r="E217" s="697">
        <v>5</v>
      </c>
      <c r="F217" s="13"/>
      <c r="G217" s="790">
        <f t="shared" si="10"/>
        <v>0</v>
      </c>
    </row>
    <row r="218" spans="2:7">
      <c r="B218" s="705">
        <v>14</v>
      </c>
      <c r="C218" s="707" t="s">
        <v>1435</v>
      </c>
      <c r="D218" s="696" t="s">
        <v>1436</v>
      </c>
      <c r="E218" s="697">
        <v>1</v>
      </c>
      <c r="F218" s="13"/>
      <c r="G218" s="790">
        <f t="shared" si="10"/>
        <v>0</v>
      </c>
    </row>
    <row r="219" spans="2:7">
      <c r="B219" s="705">
        <v>15</v>
      </c>
      <c r="C219" s="707" t="s">
        <v>1437</v>
      </c>
      <c r="D219" s="696" t="s">
        <v>1436</v>
      </c>
      <c r="E219" s="697">
        <v>1</v>
      </c>
      <c r="F219" s="13"/>
      <c r="G219" s="790">
        <f t="shared" si="10"/>
        <v>0</v>
      </c>
    </row>
    <row r="220" spans="2:7">
      <c r="B220" s="705"/>
      <c r="C220" s="707"/>
      <c r="D220" s="696"/>
      <c r="E220" s="697"/>
      <c r="F220" s="697"/>
      <c r="G220" s="789"/>
    </row>
    <row r="221" spans="2:7">
      <c r="B221" s="705"/>
      <c r="C221" s="708" t="s">
        <v>1474</v>
      </c>
      <c r="D221" s="692"/>
      <c r="E221" s="693"/>
      <c r="F221" s="693"/>
      <c r="G221" s="791"/>
    </row>
    <row r="222" spans="2:7">
      <c r="B222" s="705"/>
      <c r="C222" s="710" t="s">
        <v>1887</v>
      </c>
      <c r="D222" s="696"/>
      <c r="E222" s="697"/>
      <c r="F222" s="697"/>
      <c r="G222" s="789"/>
    </row>
    <row r="223" spans="2:7">
      <c r="B223" s="705">
        <v>16</v>
      </c>
      <c r="C223" s="707" t="s">
        <v>1475</v>
      </c>
      <c r="D223" s="696" t="s">
        <v>1296</v>
      </c>
      <c r="E223" s="697">
        <v>35</v>
      </c>
      <c r="F223" s="13"/>
      <c r="G223" s="790">
        <f t="shared" ref="G223:G236" si="11">E223*F223</f>
        <v>0</v>
      </c>
    </row>
    <row r="224" spans="2:7">
      <c r="B224" s="705">
        <v>17</v>
      </c>
      <c r="C224" s="707" t="s">
        <v>1456</v>
      </c>
      <c r="D224" s="696" t="s">
        <v>1296</v>
      </c>
      <c r="E224" s="697">
        <v>120</v>
      </c>
      <c r="F224" s="13"/>
      <c r="G224" s="790">
        <f t="shared" si="11"/>
        <v>0</v>
      </c>
    </row>
    <row r="225" spans="2:7">
      <c r="B225" s="705">
        <v>18</v>
      </c>
      <c r="C225" s="707" t="s">
        <v>1457</v>
      </c>
      <c r="D225" s="696" t="s">
        <v>1296</v>
      </c>
      <c r="E225" s="697">
        <v>900</v>
      </c>
      <c r="F225" s="13"/>
      <c r="G225" s="790">
        <f t="shared" si="11"/>
        <v>0</v>
      </c>
    </row>
    <row r="226" spans="2:7">
      <c r="B226" s="705">
        <v>19</v>
      </c>
      <c r="C226" s="707" t="s">
        <v>1458</v>
      </c>
      <c r="D226" s="696" t="s">
        <v>1296</v>
      </c>
      <c r="E226" s="697">
        <v>750</v>
      </c>
      <c r="F226" s="13"/>
      <c r="G226" s="790">
        <f t="shared" si="11"/>
        <v>0</v>
      </c>
    </row>
    <row r="227" spans="2:7">
      <c r="B227" s="705">
        <v>20</v>
      </c>
      <c r="C227" s="707" t="s">
        <v>1459</v>
      </c>
      <c r="D227" s="696" t="s">
        <v>1283</v>
      </c>
      <c r="E227" s="697">
        <v>34</v>
      </c>
      <c r="F227" s="13"/>
      <c r="G227" s="790">
        <f t="shared" si="11"/>
        <v>0</v>
      </c>
    </row>
    <row r="228" spans="2:7">
      <c r="B228" s="705">
        <v>21</v>
      </c>
      <c r="C228" s="707" t="s">
        <v>1460</v>
      </c>
      <c r="D228" s="696" t="s">
        <v>24</v>
      </c>
      <c r="E228" s="697">
        <v>4</v>
      </c>
      <c r="F228" s="13"/>
      <c r="G228" s="790">
        <f t="shared" si="11"/>
        <v>0</v>
      </c>
    </row>
    <row r="229" spans="2:7">
      <c r="B229" s="705">
        <v>22</v>
      </c>
      <c r="C229" s="707" t="s">
        <v>1461</v>
      </c>
      <c r="D229" s="696" t="s">
        <v>24</v>
      </c>
      <c r="E229" s="697">
        <v>8</v>
      </c>
      <c r="F229" s="13"/>
      <c r="G229" s="790">
        <f t="shared" si="11"/>
        <v>0</v>
      </c>
    </row>
    <row r="230" spans="2:7">
      <c r="B230" s="705">
        <v>23</v>
      </c>
      <c r="C230" s="707" t="s">
        <v>1462</v>
      </c>
      <c r="D230" s="696" t="s">
        <v>24</v>
      </c>
      <c r="E230" s="697">
        <v>47</v>
      </c>
      <c r="F230" s="13"/>
      <c r="G230" s="790">
        <f t="shared" si="11"/>
        <v>0</v>
      </c>
    </row>
    <row r="231" spans="2:7">
      <c r="B231" s="705">
        <v>24</v>
      </c>
      <c r="C231" s="707" t="s">
        <v>1463</v>
      </c>
      <c r="D231" s="696" t="s">
        <v>1296</v>
      </c>
      <c r="E231" s="697">
        <v>900</v>
      </c>
      <c r="F231" s="13"/>
      <c r="G231" s="790">
        <f t="shared" si="11"/>
        <v>0</v>
      </c>
    </row>
    <row r="232" spans="2:7">
      <c r="B232" s="705">
        <v>25</v>
      </c>
      <c r="C232" s="707" t="s">
        <v>1464</v>
      </c>
      <c r="D232" s="696" t="s">
        <v>24</v>
      </c>
      <c r="E232" s="697">
        <v>16</v>
      </c>
      <c r="F232" s="13"/>
      <c r="G232" s="790">
        <f t="shared" si="11"/>
        <v>0</v>
      </c>
    </row>
    <row r="233" spans="2:7">
      <c r="B233" s="705">
        <v>26</v>
      </c>
      <c r="C233" s="707" t="s">
        <v>1465</v>
      </c>
      <c r="D233" s="696" t="s">
        <v>24</v>
      </c>
      <c r="E233" s="697">
        <v>29</v>
      </c>
      <c r="F233" s="13"/>
      <c r="G233" s="790">
        <f t="shared" si="11"/>
        <v>0</v>
      </c>
    </row>
    <row r="234" spans="2:7">
      <c r="B234" s="705">
        <v>27</v>
      </c>
      <c r="C234" s="707" t="s">
        <v>1466</v>
      </c>
      <c r="D234" s="696" t="s">
        <v>24</v>
      </c>
      <c r="E234" s="697">
        <v>85</v>
      </c>
      <c r="F234" s="13"/>
      <c r="G234" s="790">
        <f t="shared" si="11"/>
        <v>0</v>
      </c>
    </row>
    <row r="235" spans="2:7">
      <c r="B235" s="705">
        <v>28</v>
      </c>
      <c r="C235" s="707" t="s">
        <v>1435</v>
      </c>
      <c r="D235" s="696" t="s">
        <v>1436</v>
      </c>
      <c r="E235" s="697">
        <v>1</v>
      </c>
      <c r="F235" s="13"/>
      <c r="G235" s="790">
        <f t="shared" si="11"/>
        <v>0</v>
      </c>
    </row>
    <row r="236" spans="2:7">
      <c r="B236" s="705">
        <v>29</v>
      </c>
      <c r="C236" s="712" t="s">
        <v>1437</v>
      </c>
      <c r="D236" s="713" t="s">
        <v>1436</v>
      </c>
      <c r="E236" s="722">
        <v>1</v>
      </c>
      <c r="F236" s="14"/>
      <c r="G236" s="790">
        <f t="shared" si="11"/>
        <v>0</v>
      </c>
    </row>
    <row r="237" spans="2:7">
      <c r="B237" s="714"/>
      <c r="C237" s="715" t="s">
        <v>1444</v>
      </c>
      <c r="D237" s="716"/>
      <c r="E237" s="796"/>
      <c r="F237" s="797"/>
      <c r="G237" s="795">
        <f>SUM(G205:G236)</f>
        <v>0</v>
      </c>
    </row>
    <row r="238" spans="2:7">
      <c r="F238" s="785"/>
    </row>
    <row r="239" spans="2:7">
      <c r="F239" s="785"/>
    </row>
    <row r="240" spans="2:7">
      <c r="B240" s="675" t="s">
        <v>1407</v>
      </c>
      <c r="C240" s="676" t="s">
        <v>1408</v>
      </c>
      <c r="D240" s="677" t="s">
        <v>1409</v>
      </c>
      <c r="E240" s="787" t="s">
        <v>1410</v>
      </c>
      <c r="F240" s="787" t="s">
        <v>1411</v>
      </c>
      <c r="G240" s="788" t="s">
        <v>1412</v>
      </c>
    </row>
    <row r="241" spans="2:7">
      <c r="B241" s="675" t="s">
        <v>1413</v>
      </c>
      <c r="C241" s="676" t="s">
        <v>1476</v>
      </c>
      <c r="D241" s="677" t="s">
        <v>1414</v>
      </c>
      <c r="E241" s="787"/>
      <c r="F241" s="787"/>
      <c r="G241" s="788" t="s">
        <v>1446</v>
      </c>
    </row>
    <row r="242" spans="2:7">
      <c r="B242" s="705"/>
      <c r="C242" s="706"/>
      <c r="D242" s="681"/>
      <c r="E242" s="789"/>
      <c r="F242" s="789"/>
      <c r="G242" s="789"/>
    </row>
    <row r="243" spans="2:7">
      <c r="B243" s="705" t="s">
        <v>1893</v>
      </c>
      <c r="C243" s="682" t="s">
        <v>1887</v>
      </c>
      <c r="D243" s="681"/>
      <c r="E243" s="789"/>
      <c r="F243" s="789"/>
      <c r="G243" s="789"/>
    </row>
    <row r="244" spans="2:7" ht="20.25">
      <c r="B244" s="705">
        <v>1</v>
      </c>
      <c r="C244" s="707" t="s">
        <v>1417</v>
      </c>
      <c r="D244" s="696" t="s">
        <v>1283</v>
      </c>
      <c r="E244" s="697">
        <v>1</v>
      </c>
      <c r="F244" s="13"/>
      <c r="G244" s="790">
        <f t="shared" ref="G244:G258" si="12">E244*F244</f>
        <v>0</v>
      </c>
    </row>
    <row r="245" spans="2:7">
      <c r="B245" s="705">
        <v>2</v>
      </c>
      <c r="C245" s="707" t="s">
        <v>1448</v>
      </c>
      <c r="D245" s="696" t="s">
        <v>24</v>
      </c>
      <c r="E245" s="697">
        <v>1</v>
      </c>
      <c r="F245" s="13"/>
      <c r="G245" s="790">
        <f t="shared" si="12"/>
        <v>0</v>
      </c>
    </row>
    <row r="246" spans="2:7">
      <c r="B246" s="705">
        <v>3</v>
      </c>
      <c r="C246" s="707" t="s">
        <v>1449</v>
      </c>
      <c r="D246" s="696" t="s">
        <v>1283</v>
      </c>
      <c r="E246" s="697">
        <v>1</v>
      </c>
      <c r="F246" s="13"/>
      <c r="G246" s="790">
        <f t="shared" si="12"/>
        <v>0</v>
      </c>
    </row>
    <row r="247" spans="2:7">
      <c r="B247" s="705">
        <v>4</v>
      </c>
      <c r="C247" s="707" t="s">
        <v>1450</v>
      </c>
      <c r="D247" s="696" t="s">
        <v>1283</v>
      </c>
      <c r="E247" s="697">
        <v>15</v>
      </c>
      <c r="F247" s="13"/>
      <c r="G247" s="790">
        <f t="shared" si="12"/>
        <v>0</v>
      </c>
    </row>
    <row r="248" spans="2:7">
      <c r="B248" s="705">
        <v>5</v>
      </c>
      <c r="C248" s="707" t="s">
        <v>1451</v>
      </c>
      <c r="D248" s="696" t="s">
        <v>1283</v>
      </c>
      <c r="E248" s="697">
        <v>40</v>
      </c>
      <c r="F248" s="13"/>
      <c r="G248" s="790">
        <f t="shared" si="12"/>
        <v>0</v>
      </c>
    </row>
    <row r="249" spans="2:7">
      <c r="B249" s="705">
        <v>6</v>
      </c>
      <c r="C249" s="707" t="s">
        <v>1452</v>
      </c>
      <c r="D249" s="696" t="s">
        <v>1283</v>
      </c>
      <c r="E249" s="697">
        <v>1</v>
      </c>
      <c r="F249" s="13"/>
      <c r="G249" s="790">
        <f t="shared" si="12"/>
        <v>0</v>
      </c>
    </row>
    <row r="250" spans="2:7">
      <c r="B250" s="705">
        <v>7</v>
      </c>
      <c r="C250" s="707" t="s">
        <v>1425</v>
      </c>
      <c r="D250" s="696" t="s">
        <v>1283</v>
      </c>
      <c r="E250" s="697">
        <v>1</v>
      </c>
      <c r="F250" s="13"/>
      <c r="G250" s="790">
        <f t="shared" si="12"/>
        <v>0</v>
      </c>
    </row>
    <row r="251" spans="2:7">
      <c r="B251" s="705">
        <v>8</v>
      </c>
      <c r="C251" s="707" t="s">
        <v>1426</v>
      </c>
      <c r="D251" s="696" t="s">
        <v>1296</v>
      </c>
      <c r="E251" s="697">
        <v>10</v>
      </c>
      <c r="F251" s="13"/>
      <c r="G251" s="790">
        <f t="shared" si="12"/>
        <v>0</v>
      </c>
    </row>
    <row r="252" spans="2:7">
      <c r="B252" s="705">
        <v>9</v>
      </c>
      <c r="C252" s="707" t="s">
        <v>1427</v>
      </c>
      <c r="D252" s="696" t="s">
        <v>1283</v>
      </c>
      <c r="E252" s="697">
        <v>1</v>
      </c>
      <c r="F252" s="13"/>
      <c r="G252" s="790">
        <f t="shared" si="12"/>
        <v>0</v>
      </c>
    </row>
    <row r="253" spans="2:7">
      <c r="B253" s="705">
        <v>10</v>
      </c>
      <c r="C253" s="707" t="s">
        <v>1453</v>
      </c>
      <c r="D253" s="696" t="s">
        <v>1296</v>
      </c>
      <c r="E253" s="697">
        <v>10</v>
      </c>
      <c r="F253" s="13"/>
      <c r="G253" s="790">
        <f t="shared" si="12"/>
        <v>0</v>
      </c>
    </row>
    <row r="254" spans="2:7">
      <c r="B254" s="705">
        <v>11</v>
      </c>
      <c r="C254" s="707" t="s">
        <v>1429</v>
      </c>
      <c r="D254" s="696" t="s">
        <v>1296</v>
      </c>
      <c r="E254" s="697">
        <v>50</v>
      </c>
      <c r="F254" s="13"/>
      <c r="G254" s="790">
        <f t="shared" si="12"/>
        <v>0</v>
      </c>
    </row>
    <row r="255" spans="2:7">
      <c r="B255" s="705">
        <v>12</v>
      </c>
      <c r="C255" s="707" t="s">
        <v>1430</v>
      </c>
      <c r="D255" s="696" t="s">
        <v>1296</v>
      </c>
      <c r="E255" s="697">
        <v>50</v>
      </c>
      <c r="F255" s="13"/>
      <c r="G255" s="790">
        <f t="shared" si="12"/>
        <v>0</v>
      </c>
    </row>
    <row r="256" spans="2:7">
      <c r="B256" s="705">
        <v>13</v>
      </c>
      <c r="C256" s="707" t="s">
        <v>1434</v>
      </c>
      <c r="D256" s="696" t="s">
        <v>1296</v>
      </c>
      <c r="E256" s="697">
        <v>5</v>
      </c>
      <c r="F256" s="13"/>
      <c r="G256" s="790">
        <f t="shared" si="12"/>
        <v>0</v>
      </c>
    </row>
    <row r="257" spans="2:7">
      <c r="B257" s="705">
        <v>14</v>
      </c>
      <c r="C257" s="707" t="s">
        <v>1435</v>
      </c>
      <c r="D257" s="696" t="s">
        <v>1436</v>
      </c>
      <c r="E257" s="697">
        <v>1</v>
      </c>
      <c r="F257" s="13"/>
      <c r="G257" s="790">
        <f t="shared" si="12"/>
        <v>0</v>
      </c>
    </row>
    <row r="258" spans="2:7">
      <c r="B258" s="705">
        <v>15</v>
      </c>
      <c r="C258" s="707" t="s">
        <v>1437</v>
      </c>
      <c r="D258" s="696" t="s">
        <v>1436</v>
      </c>
      <c r="E258" s="697">
        <v>1</v>
      </c>
      <c r="F258" s="13"/>
      <c r="G258" s="790">
        <f t="shared" si="12"/>
        <v>0</v>
      </c>
    </row>
    <row r="259" spans="2:7">
      <c r="B259" s="705"/>
      <c r="C259" s="707"/>
      <c r="D259" s="696"/>
      <c r="E259" s="697"/>
      <c r="F259" s="697"/>
      <c r="G259" s="789"/>
    </row>
    <row r="260" spans="2:7">
      <c r="B260" s="705"/>
      <c r="C260" s="708" t="s">
        <v>1477</v>
      </c>
      <c r="D260" s="692"/>
      <c r="E260" s="693"/>
      <c r="F260" s="693"/>
      <c r="G260" s="791"/>
    </row>
    <row r="261" spans="2:7">
      <c r="B261" s="705"/>
      <c r="C261" s="710" t="s">
        <v>1887</v>
      </c>
      <c r="D261" s="696"/>
      <c r="E261" s="697"/>
      <c r="F261" s="697"/>
      <c r="G261" s="789"/>
    </row>
    <row r="262" spans="2:7">
      <c r="B262" s="705">
        <v>16</v>
      </c>
      <c r="C262" s="707" t="s">
        <v>1455</v>
      </c>
      <c r="D262" s="696" t="s">
        <v>1296</v>
      </c>
      <c r="E262" s="697">
        <v>20</v>
      </c>
      <c r="F262" s="13"/>
      <c r="G262" s="790">
        <f t="shared" ref="G262:G275" si="13">E262*F262</f>
        <v>0</v>
      </c>
    </row>
    <row r="263" spans="2:7">
      <c r="B263" s="705">
        <v>17</v>
      </c>
      <c r="C263" s="707" t="s">
        <v>1456</v>
      </c>
      <c r="D263" s="696" t="s">
        <v>1296</v>
      </c>
      <c r="E263" s="697">
        <v>120</v>
      </c>
      <c r="F263" s="13"/>
      <c r="G263" s="790">
        <f t="shared" si="13"/>
        <v>0</v>
      </c>
    </row>
    <row r="264" spans="2:7">
      <c r="B264" s="705">
        <v>18</v>
      </c>
      <c r="C264" s="707" t="s">
        <v>1457</v>
      </c>
      <c r="D264" s="696" t="s">
        <v>1296</v>
      </c>
      <c r="E264" s="697">
        <v>900</v>
      </c>
      <c r="F264" s="13"/>
      <c r="G264" s="790">
        <f t="shared" si="13"/>
        <v>0</v>
      </c>
    </row>
    <row r="265" spans="2:7">
      <c r="B265" s="705">
        <v>19</v>
      </c>
      <c r="C265" s="707" t="s">
        <v>1458</v>
      </c>
      <c r="D265" s="696" t="s">
        <v>1296</v>
      </c>
      <c r="E265" s="697">
        <v>700</v>
      </c>
      <c r="F265" s="13"/>
      <c r="G265" s="790">
        <f t="shared" si="13"/>
        <v>0</v>
      </c>
    </row>
    <row r="266" spans="2:7">
      <c r="B266" s="705">
        <v>20</v>
      </c>
      <c r="C266" s="707" t="s">
        <v>1459</v>
      </c>
      <c r="D266" s="696" t="s">
        <v>1283</v>
      </c>
      <c r="E266" s="697">
        <v>34</v>
      </c>
      <c r="F266" s="13"/>
      <c r="G266" s="790">
        <f t="shared" si="13"/>
        <v>0</v>
      </c>
    </row>
    <row r="267" spans="2:7">
      <c r="B267" s="705">
        <v>21</v>
      </c>
      <c r="C267" s="707" t="s">
        <v>1460</v>
      </c>
      <c r="D267" s="696" t="s">
        <v>24</v>
      </c>
      <c r="E267" s="697">
        <v>4</v>
      </c>
      <c r="F267" s="13"/>
      <c r="G267" s="790">
        <f t="shared" si="13"/>
        <v>0</v>
      </c>
    </row>
    <row r="268" spans="2:7">
      <c r="B268" s="705">
        <v>22</v>
      </c>
      <c r="C268" s="707" t="s">
        <v>1461</v>
      </c>
      <c r="D268" s="696" t="s">
        <v>24</v>
      </c>
      <c r="E268" s="697">
        <v>8</v>
      </c>
      <c r="F268" s="13"/>
      <c r="G268" s="790">
        <f t="shared" si="13"/>
        <v>0</v>
      </c>
    </row>
    <row r="269" spans="2:7">
      <c r="B269" s="705">
        <v>23</v>
      </c>
      <c r="C269" s="707" t="s">
        <v>1462</v>
      </c>
      <c r="D269" s="696" t="s">
        <v>24</v>
      </c>
      <c r="E269" s="697">
        <v>44</v>
      </c>
      <c r="F269" s="13"/>
      <c r="G269" s="790">
        <f t="shared" si="13"/>
        <v>0</v>
      </c>
    </row>
    <row r="270" spans="2:7">
      <c r="B270" s="705">
        <v>24</v>
      </c>
      <c r="C270" s="707" t="s">
        <v>1463</v>
      </c>
      <c r="D270" s="696" t="s">
        <v>1296</v>
      </c>
      <c r="E270" s="697">
        <v>900</v>
      </c>
      <c r="F270" s="13"/>
      <c r="G270" s="790">
        <f t="shared" si="13"/>
        <v>0</v>
      </c>
    </row>
    <row r="271" spans="2:7">
      <c r="B271" s="705">
        <v>25</v>
      </c>
      <c r="C271" s="707" t="s">
        <v>1464</v>
      </c>
      <c r="D271" s="696" t="s">
        <v>24</v>
      </c>
      <c r="E271" s="697">
        <v>16</v>
      </c>
      <c r="F271" s="13"/>
      <c r="G271" s="790">
        <f t="shared" si="13"/>
        <v>0</v>
      </c>
    </row>
    <row r="272" spans="2:7">
      <c r="B272" s="705">
        <v>26</v>
      </c>
      <c r="C272" s="707" t="s">
        <v>1465</v>
      </c>
      <c r="D272" s="696" t="s">
        <v>24</v>
      </c>
      <c r="E272" s="697">
        <v>29</v>
      </c>
      <c r="F272" s="13"/>
      <c r="G272" s="790">
        <f t="shared" si="13"/>
        <v>0</v>
      </c>
    </row>
    <row r="273" spans="2:7">
      <c r="B273" s="705">
        <v>27</v>
      </c>
      <c r="C273" s="707" t="s">
        <v>1466</v>
      </c>
      <c r="D273" s="696" t="s">
        <v>24</v>
      </c>
      <c r="E273" s="697">
        <v>85</v>
      </c>
      <c r="F273" s="13"/>
      <c r="G273" s="790">
        <f t="shared" si="13"/>
        <v>0</v>
      </c>
    </row>
    <row r="274" spans="2:7">
      <c r="B274" s="705">
        <v>28</v>
      </c>
      <c r="C274" s="707" t="s">
        <v>1435</v>
      </c>
      <c r="D274" s="696" t="s">
        <v>1436</v>
      </c>
      <c r="E274" s="697">
        <v>1</v>
      </c>
      <c r="F274" s="13"/>
      <c r="G274" s="790">
        <f t="shared" si="13"/>
        <v>0</v>
      </c>
    </row>
    <row r="275" spans="2:7">
      <c r="B275" s="705">
        <v>29</v>
      </c>
      <c r="C275" s="712" t="s">
        <v>1437</v>
      </c>
      <c r="D275" s="713" t="s">
        <v>1436</v>
      </c>
      <c r="E275" s="722">
        <v>1</v>
      </c>
      <c r="F275" s="14"/>
      <c r="G275" s="790">
        <f t="shared" si="13"/>
        <v>0</v>
      </c>
    </row>
    <row r="276" spans="2:7">
      <c r="B276" s="714"/>
      <c r="C276" s="715" t="s">
        <v>1444</v>
      </c>
      <c r="D276" s="716"/>
      <c r="E276" s="796"/>
      <c r="F276" s="797"/>
      <c r="G276" s="795">
        <f>SUM(G244:G275)</f>
        <v>0</v>
      </c>
    </row>
    <row r="277" spans="2:7">
      <c r="F277" s="785"/>
    </row>
    <row r="278" spans="2:7">
      <c r="F278" s="785"/>
    </row>
    <row r="279" spans="2:7">
      <c r="B279" s="675" t="s">
        <v>1407</v>
      </c>
      <c r="C279" s="676" t="s">
        <v>1408</v>
      </c>
      <c r="D279" s="677" t="s">
        <v>1409</v>
      </c>
      <c r="E279" s="787" t="s">
        <v>1410</v>
      </c>
      <c r="F279" s="787" t="s">
        <v>1411</v>
      </c>
      <c r="G279" s="788" t="s">
        <v>1412</v>
      </c>
    </row>
    <row r="280" spans="2:7">
      <c r="B280" s="675" t="s">
        <v>1413</v>
      </c>
      <c r="C280" s="676" t="s">
        <v>1886</v>
      </c>
      <c r="D280" s="677" t="s">
        <v>1414</v>
      </c>
      <c r="E280" s="787"/>
      <c r="F280" s="787"/>
      <c r="G280" s="788" t="s">
        <v>1446</v>
      </c>
    </row>
    <row r="281" spans="2:7">
      <c r="B281" s="718" t="s">
        <v>1895</v>
      </c>
      <c r="C281" s="719"/>
      <c r="D281" s="720"/>
      <c r="E281" s="798"/>
      <c r="F281" s="798"/>
      <c r="G281" s="799"/>
    </row>
    <row r="282" spans="2:7" ht="120" customHeight="1">
      <c r="B282" s="705" t="s">
        <v>1478</v>
      </c>
      <c r="C282" s="712" t="s">
        <v>1479</v>
      </c>
      <c r="D282" s="696" t="s">
        <v>1016</v>
      </c>
      <c r="E282" s="697">
        <v>182</v>
      </c>
      <c r="F282" s="14"/>
      <c r="G282" s="790">
        <f t="shared" ref="G282:G286" si="14">E282*F282</f>
        <v>0</v>
      </c>
    </row>
    <row r="283" spans="2:7" ht="157.5" customHeight="1">
      <c r="B283" s="705" t="s">
        <v>1480</v>
      </c>
      <c r="C283" s="712" t="s">
        <v>1481</v>
      </c>
      <c r="D283" s="696" t="s">
        <v>24</v>
      </c>
      <c r="E283" s="697">
        <v>1</v>
      </c>
      <c r="F283" s="14"/>
      <c r="G283" s="790">
        <f t="shared" si="14"/>
        <v>0</v>
      </c>
    </row>
    <row r="284" spans="2:7" ht="88.5" customHeight="1">
      <c r="B284" s="705" t="s">
        <v>1482</v>
      </c>
      <c r="C284" s="707" t="s">
        <v>1483</v>
      </c>
      <c r="D284" s="696" t="s">
        <v>1016</v>
      </c>
      <c r="E284" s="697">
        <v>1</v>
      </c>
      <c r="F284" s="14"/>
      <c r="G284" s="790">
        <f t="shared" si="14"/>
        <v>0</v>
      </c>
    </row>
    <row r="285" spans="2:7" ht="70.900000000000006">
      <c r="B285" s="705" t="s">
        <v>1484</v>
      </c>
      <c r="C285" s="707" t="s">
        <v>1485</v>
      </c>
      <c r="D285" s="696" t="s">
        <v>1296</v>
      </c>
      <c r="E285" s="697">
        <v>400</v>
      </c>
      <c r="F285" s="14"/>
      <c r="G285" s="790">
        <f t="shared" si="14"/>
        <v>0</v>
      </c>
    </row>
    <row r="286" spans="2:7" ht="23.25" customHeight="1">
      <c r="B286" s="705" t="s">
        <v>1486</v>
      </c>
      <c r="C286" s="721" t="s">
        <v>1487</v>
      </c>
      <c r="D286" s="696" t="s">
        <v>1488</v>
      </c>
      <c r="E286" s="697">
        <v>182</v>
      </c>
      <c r="F286" s="14"/>
      <c r="G286" s="790">
        <f t="shared" si="14"/>
        <v>0</v>
      </c>
    </row>
    <row r="287" spans="2:7" ht="23.25" customHeight="1">
      <c r="B287" s="705" t="s">
        <v>1489</v>
      </c>
      <c r="C287" s="721" t="s">
        <v>1490</v>
      </c>
      <c r="D287" s="696"/>
      <c r="E287" s="697"/>
      <c r="F287" s="722"/>
      <c r="G287" s="723"/>
    </row>
    <row r="288" spans="2:7" ht="23.25" customHeight="1">
      <c r="B288" s="705"/>
      <c r="C288" s="724" t="s">
        <v>1896</v>
      </c>
      <c r="D288" s="696" t="s">
        <v>24</v>
      </c>
      <c r="E288" s="697">
        <v>1</v>
      </c>
      <c r="F288" s="14"/>
      <c r="G288" s="790">
        <f t="shared" ref="G288:G296" si="15">E288*F288</f>
        <v>0</v>
      </c>
    </row>
    <row r="289" spans="2:7" ht="23.25" customHeight="1">
      <c r="B289" s="705"/>
      <c r="C289" s="724" t="s">
        <v>1897</v>
      </c>
      <c r="D289" s="696" t="s">
        <v>24</v>
      </c>
      <c r="E289" s="697">
        <v>1</v>
      </c>
      <c r="F289" s="14"/>
      <c r="G289" s="790">
        <f t="shared" si="15"/>
        <v>0</v>
      </c>
    </row>
    <row r="290" spans="2:7" ht="23.25" customHeight="1">
      <c r="B290" s="705"/>
      <c r="C290" s="725" t="s">
        <v>1898</v>
      </c>
      <c r="D290" s="696" t="s">
        <v>24</v>
      </c>
      <c r="E290" s="697">
        <v>2</v>
      </c>
      <c r="F290" s="14"/>
      <c r="G290" s="790">
        <f t="shared" si="15"/>
        <v>0</v>
      </c>
    </row>
    <row r="291" spans="2:7" ht="23.25" customHeight="1">
      <c r="B291" s="705"/>
      <c r="C291" s="726" t="s">
        <v>1900</v>
      </c>
      <c r="D291" s="696" t="s">
        <v>24</v>
      </c>
      <c r="E291" s="697">
        <v>1</v>
      </c>
      <c r="F291" s="14"/>
      <c r="G291" s="790">
        <f t="shared" si="15"/>
        <v>0</v>
      </c>
    </row>
    <row r="292" spans="2:7" ht="23.25" customHeight="1">
      <c r="B292" s="705"/>
      <c r="C292" s="726" t="s">
        <v>1901</v>
      </c>
      <c r="D292" s="696" t="s">
        <v>24</v>
      </c>
      <c r="E292" s="697">
        <v>1</v>
      </c>
      <c r="F292" s="14"/>
      <c r="G292" s="790">
        <f t="shared" si="15"/>
        <v>0</v>
      </c>
    </row>
    <row r="293" spans="2:7" ht="23.25" customHeight="1">
      <c r="B293" s="705"/>
      <c r="C293" s="726" t="s">
        <v>1899</v>
      </c>
      <c r="D293" s="696" t="s">
        <v>1491</v>
      </c>
      <c r="E293" s="697">
        <v>1</v>
      </c>
      <c r="F293" s="14"/>
      <c r="G293" s="790">
        <f t="shared" si="15"/>
        <v>0</v>
      </c>
    </row>
    <row r="294" spans="2:7" ht="23.25" customHeight="1">
      <c r="B294" s="705"/>
      <c r="C294" s="726" t="s">
        <v>1902</v>
      </c>
      <c r="D294" s="696" t="s">
        <v>1491</v>
      </c>
      <c r="E294" s="697">
        <v>1</v>
      </c>
      <c r="F294" s="14"/>
      <c r="G294" s="790">
        <f t="shared" si="15"/>
        <v>0</v>
      </c>
    </row>
    <row r="295" spans="2:7" ht="23.25" customHeight="1">
      <c r="B295" s="705"/>
      <c r="C295" s="726" t="s">
        <v>1903</v>
      </c>
      <c r="D295" s="696" t="s">
        <v>24</v>
      </c>
      <c r="E295" s="697">
        <v>1</v>
      </c>
      <c r="F295" s="14"/>
      <c r="G295" s="790">
        <f t="shared" si="15"/>
        <v>0</v>
      </c>
    </row>
    <row r="296" spans="2:7" ht="23.25" customHeight="1">
      <c r="B296" s="705"/>
      <c r="C296" s="726" t="s">
        <v>1904</v>
      </c>
      <c r="D296" s="696" t="s">
        <v>24</v>
      </c>
      <c r="E296" s="697">
        <v>1</v>
      </c>
      <c r="F296" s="14"/>
      <c r="G296" s="790">
        <f t="shared" si="15"/>
        <v>0</v>
      </c>
    </row>
    <row r="297" spans="2:7" ht="23.25" customHeight="1">
      <c r="B297" s="705" t="s">
        <v>1492</v>
      </c>
      <c r="C297" s="721" t="s">
        <v>1493</v>
      </c>
      <c r="D297" s="696"/>
      <c r="E297" s="697"/>
      <c r="F297" s="722"/>
      <c r="G297" s="723"/>
    </row>
    <row r="298" spans="2:7" ht="23.25" customHeight="1">
      <c r="B298" s="705"/>
      <c r="C298" s="721" t="s">
        <v>1905</v>
      </c>
      <c r="D298" s="696" t="s">
        <v>24</v>
      </c>
      <c r="E298" s="697">
        <v>32</v>
      </c>
      <c r="F298" s="14"/>
      <c r="G298" s="790">
        <f t="shared" ref="G298:G301" si="16">E298*F298</f>
        <v>0</v>
      </c>
    </row>
    <row r="299" spans="2:7" ht="23.25" customHeight="1">
      <c r="B299" s="705"/>
      <c r="C299" s="721" t="s">
        <v>1906</v>
      </c>
      <c r="D299" s="696" t="s">
        <v>24</v>
      </c>
      <c r="E299" s="697">
        <v>64</v>
      </c>
      <c r="F299" s="14"/>
      <c r="G299" s="790">
        <f t="shared" si="16"/>
        <v>0</v>
      </c>
    </row>
    <row r="300" spans="2:7" ht="23.25" customHeight="1">
      <c r="B300" s="705"/>
      <c r="C300" s="721" t="s">
        <v>1907</v>
      </c>
      <c r="D300" s="696" t="s">
        <v>24</v>
      </c>
      <c r="E300" s="697">
        <v>16</v>
      </c>
      <c r="F300" s="14"/>
      <c r="G300" s="790">
        <f t="shared" si="16"/>
        <v>0</v>
      </c>
    </row>
    <row r="301" spans="2:7" ht="26.25" customHeight="1">
      <c r="B301" s="705"/>
      <c r="C301" s="721" t="s">
        <v>1908</v>
      </c>
      <c r="D301" s="696" t="s">
        <v>1016</v>
      </c>
      <c r="E301" s="697">
        <v>1</v>
      </c>
      <c r="F301" s="14"/>
      <c r="G301" s="790">
        <f t="shared" si="16"/>
        <v>0</v>
      </c>
    </row>
    <row r="302" spans="2:7" ht="27" customHeight="1">
      <c r="B302" s="705" t="s">
        <v>1494</v>
      </c>
      <c r="C302" s="721" t="s">
        <v>1495</v>
      </c>
      <c r="D302" s="696"/>
      <c r="E302" s="697"/>
      <c r="F302" s="722"/>
      <c r="G302" s="800"/>
    </row>
    <row r="303" spans="2:7" ht="28.5" customHeight="1">
      <c r="B303" s="705"/>
      <c r="C303" s="721" t="s">
        <v>1909</v>
      </c>
      <c r="D303" s="696" t="s">
        <v>1296</v>
      </c>
      <c r="E303" s="697">
        <v>20</v>
      </c>
      <c r="F303" s="14"/>
      <c r="G303" s="790">
        <f t="shared" ref="G303:G304" si="17">E303*F303</f>
        <v>0</v>
      </c>
    </row>
    <row r="304" spans="2:7" ht="25.5" customHeight="1">
      <c r="B304" s="705"/>
      <c r="C304" s="721" t="s">
        <v>1910</v>
      </c>
      <c r="D304" s="696" t="s">
        <v>1296</v>
      </c>
      <c r="E304" s="697">
        <v>30</v>
      </c>
      <c r="F304" s="14"/>
      <c r="G304" s="790">
        <f t="shared" si="17"/>
        <v>0</v>
      </c>
    </row>
    <row r="305" spans="2:7" ht="24" customHeight="1">
      <c r="B305" s="705" t="s">
        <v>1496</v>
      </c>
      <c r="C305" s="724" t="s">
        <v>1497</v>
      </c>
      <c r="D305" s="696"/>
      <c r="E305" s="697"/>
      <c r="F305" s="722"/>
      <c r="G305" s="801"/>
    </row>
    <row r="306" spans="2:7" ht="21.75" customHeight="1">
      <c r="B306" s="705"/>
      <c r="C306" s="726" t="s">
        <v>1911</v>
      </c>
      <c r="D306" s="696" t="s">
        <v>1296</v>
      </c>
      <c r="E306" s="697">
        <v>250</v>
      </c>
      <c r="F306" s="14"/>
      <c r="G306" s="790">
        <f t="shared" ref="G306:G307" si="18">E306*F306</f>
        <v>0</v>
      </c>
    </row>
    <row r="307" spans="2:7">
      <c r="B307" s="705"/>
      <c r="C307" s="726" t="s">
        <v>1912</v>
      </c>
      <c r="D307" s="696" t="s">
        <v>1016</v>
      </c>
      <c r="E307" s="697">
        <v>1</v>
      </c>
      <c r="F307" s="14"/>
      <c r="G307" s="790">
        <f t="shared" si="18"/>
        <v>0</v>
      </c>
    </row>
    <row r="308" spans="2:7" ht="27" customHeight="1">
      <c r="B308" s="705" t="s">
        <v>1498</v>
      </c>
      <c r="C308" s="721" t="s">
        <v>1499</v>
      </c>
      <c r="D308" s="696" t="s">
        <v>1296</v>
      </c>
      <c r="E308" s="697">
        <v>520</v>
      </c>
      <c r="F308" s="14"/>
      <c r="G308" s="790">
        <f t="shared" ref="G308" si="19">E308*F308</f>
        <v>0</v>
      </c>
    </row>
    <row r="309" spans="2:7" ht="44.25" customHeight="1">
      <c r="B309" s="705" t="s">
        <v>1500</v>
      </c>
      <c r="C309" s="721" t="s">
        <v>1501</v>
      </c>
      <c r="D309" s="696" t="s">
        <v>1016</v>
      </c>
      <c r="E309" s="697">
        <v>1</v>
      </c>
      <c r="F309" s="14"/>
      <c r="G309" s="790">
        <f t="shared" ref="G309" si="20">E309*F309</f>
        <v>0</v>
      </c>
    </row>
    <row r="310" spans="2:7" ht="33" customHeight="1">
      <c r="B310" s="705" t="s">
        <v>1502</v>
      </c>
      <c r="C310" s="721" t="s">
        <v>1503</v>
      </c>
      <c r="D310" s="696" t="s">
        <v>1016</v>
      </c>
      <c r="E310" s="697">
        <v>1</v>
      </c>
      <c r="F310" s="14"/>
      <c r="G310" s="790">
        <f t="shared" ref="G310" si="21">E310*F310</f>
        <v>0</v>
      </c>
    </row>
    <row r="311" spans="2:7">
      <c r="B311" s="705" t="s">
        <v>1504</v>
      </c>
      <c r="C311" s="721" t="s">
        <v>1505</v>
      </c>
      <c r="D311" s="696" t="s">
        <v>1016</v>
      </c>
      <c r="E311" s="697">
        <v>1</v>
      </c>
      <c r="F311" s="14"/>
      <c r="G311" s="790">
        <f t="shared" ref="G311" si="22">E311*F311</f>
        <v>0</v>
      </c>
    </row>
    <row r="312" spans="2:7" ht="24" customHeight="1">
      <c r="B312" s="705" t="s">
        <v>1506</v>
      </c>
      <c r="C312" s="721" t="s">
        <v>1507</v>
      </c>
      <c r="D312" s="696" t="s">
        <v>1016</v>
      </c>
      <c r="E312" s="697">
        <v>1</v>
      </c>
      <c r="F312" s="14"/>
      <c r="G312" s="790">
        <f t="shared" ref="G312" si="23">E312*F312</f>
        <v>0</v>
      </c>
    </row>
    <row r="313" spans="2:7" ht="45" customHeight="1">
      <c r="B313" s="705" t="s">
        <v>1508</v>
      </c>
      <c r="C313" s="721" t="s">
        <v>1509</v>
      </c>
      <c r="D313" s="696" t="s">
        <v>1016</v>
      </c>
      <c r="E313" s="697">
        <v>1</v>
      </c>
      <c r="F313" s="14"/>
      <c r="G313" s="790">
        <f t="shared" ref="G313" si="24">E313*F313</f>
        <v>0</v>
      </c>
    </row>
    <row r="314" spans="2:7" ht="26.25" customHeight="1">
      <c r="B314" s="705" t="s">
        <v>1510</v>
      </c>
      <c r="C314" s="721" t="s">
        <v>1511</v>
      </c>
      <c r="D314" s="696" t="s">
        <v>1016</v>
      </c>
      <c r="E314" s="697">
        <v>1</v>
      </c>
      <c r="F314" s="14"/>
      <c r="G314" s="790">
        <f t="shared" ref="G314" si="25">E314*F314</f>
        <v>0</v>
      </c>
    </row>
    <row r="315" spans="2:7">
      <c r="B315" s="727"/>
      <c r="C315" s="715" t="s">
        <v>1444</v>
      </c>
      <c r="D315" s="728"/>
      <c r="E315" s="729"/>
      <c r="F315" s="730"/>
      <c r="G315" s="795">
        <f>SUM(G282:G314)</f>
        <v>0</v>
      </c>
    </row>
    <row r="316" spans="2:7">
      <c r="B316" s="731"/>
      <c r="C316" s="731"/>
      <c r="D316" s="731"/>
      <c r="F316" s="785"/>
    </row>
    <row r="317" spans="2:7">
      <c r="B317" s="731"/>
      <c r="C317" s="731"/>
      <c r="D317" s="731"/>
      <c r="F317" s="785"/>
    </row>
    <row r="318" spans="2:7">
      <c r="B318" s="705" t="s">
        <v>1407</v>
      </c>
      <c r="C318" s="676" t="s">
        <v>1408</v>
      </c>
      <c r="D318" s="678" t="s">
        <v>1409</v>
      </c>
      <c r="E318" s="787" t="s">
        <v>1410</v>
      </c>
      <c r="F318" s="787" t="s">
        <v>1411</v>
      </c>
      <c r="G318" s="788" t="s">
        <v>1412</v>
      </c>
    </row>
    <row r="319" spans="2:7">
      <c r="B319" s="705" t="s">
        <v>1413</v>
      </c>
      <c r="C319" s="676" t="s">
        <v>1512</v>
      </c>
      <c r="D319" s="678" t="s">
        <v>1414</v>
      </c>
      <c r="E319" s="787"/>
      <c r="F319" s="787"/>
      <c r="G319" s="788" t="s">
        <v>1446</v>
      </c>
    </row>
    <row r="320" spans="2:7">
      <c r="B320" s="705"/>
      <c r="C320" s="732"/>
      <c r="D320" s="696"/>
      <c r="E320" s="802"/>
      <c r="F320" s="802"/>
      <c r="G320" s="803"/>
    </row>
    <row r="321" spans="2:7" ht="172.5" customHeight="1">
      <c r="B321" s="705">
        <v>1</v>
      </c>
      <c r="C321" s="733" t="s">
        <v>1513</v>
      </c>
      <c r="D321" s="696" t="s">
        <v>1283</v>
      </c>
      <c r="E321" s="697">
        <v>1</v>
      </c>
      <c r="F321" s="14"/>
      <c r="G321" s="790">
        <f t="shared" ref="G321:G329" si="26">E321*F321</f>
        <v>0</v>
      </c>
    </row>
    <row r="322" spans="2:7" ht="78" customHeight="1">
      <c r="B322" s="705">
        <v>2</v>
      </c>
      <c r="C322" s="733" t="s">
        <v>1514</v>
      </c>
      <c r="D322" s="696" t="s">
        <v>1283</v>
      </c>
      <c r="E322" s="697">
        <v>2</v>
      </c>
      <c r="F322" s="14"/>
      <c r="G322" s="790">
        <f t="shared" si="26"/>
        <v>0</v>
      </c>
    </row>
    <row r="323" spans="2:7" ht="28.5" customHeight="1">
      <c r="B323" s="705">
        <v>3</v>
      </c>
      <c r="C323" s="733" t="s">
        <v>1515</v>
      </c>
      <c r="D323" s="696" t="s">
        <v>1283</v>
      </c>
      <c r="E323" s="697">
        <v>6</v>
      </c>
      <c r="F323" s="14"/>
      <c r="G323" s="790">
        <f t="shared" si="26"/>
        <v>0</v>
      </c>
    </row>
    <row r="324" spans="2:7" ht="67.5" customHeight="1">
      <c r="B324" s="705">
        <v>4</v>
      </c>
      <c r="C324" s="733" t="s">
        <v>1516</v>
      </c>
      <c r="D324" s="696" t="s">
        <v>24</v>
      </c>
      <c r="E324" s="697">
        <v>10</v>
      </c>
      <c r="F324" s="14"/>
      <c r="G324" s="790">
        <f t="shared" si="26"/>
        <v>0</v>
      </c>
    </row>
    <row r="325" spans="2:7" ht="53.25" customHeight="1">
      <c r="B325" s="705">
        <v>5</v>
      </c>
      <c r="C325" s="733" t="s">
        <v>1517</v>
      </c>
      <c r="D325" s="696" t="s">
        <v>24</v>
      </c>
      <c r="E325" s="697">
        <v>10</v>
      </c>
      <c r="F325" s="14"/>
      <c r="G325" s="790">
        <f t="shared" si="26"/>
        <v>0</v>
      </c>
    </row>
    <row r="326" spans="2:7" ht="89.25" customHeight="1">
      <c r="B326" s="705">
        <v>6</v>
      </c>
      <c r="C326" s="733" t="s">
        <v>1518</v>
      </c>
      <c r="D326" s="696" t="s">
        <v>24</v>
      </c>
      <c r="E326" s="697">
        <v>1</v>
      </c>
      <c r="F326" s="14"/>
      <c r="G326" s="790">
        <f t="shared" si="26"/>
        <v>0</v>
      </c>
    </row>
    <row r="327" spans="2:7" ht="46.5" customHeight="1">
      <c r="B327" s="705">
        <v>7</v>
      </c>
      <c r="C327" s="733" t="s">
        <v>1519</v>
      </c>
      <c r="D327" s="696" t="s">
        <v>24</v>
      </c>
      <c r="E327" s="697">
        <v>1</v>
      </c>
      <c r="F327" s="14"/>
      <c r="G327" s="790">
        <f t="shared" si="26"/>
        <v>0</v>
      </c>
    </row>
    <row r="328" spans="2:7" ht="78" customHeight="1">
      <c r="B328" s="705">
        <v>8</v>
      </c>
      <c r="C328" s="733" t="s">
        <v>1520</v>
      </c>
      <c r="D328" s="696" t="s">
        <v>24</v>
      </c>
      <c r="E328" s="697">
        <v>4</v>
      </c>
      <c r="F328" s="14"/>
      <c r="G328" s="790">
        <f t="shared" si="26"/>
        <v>0</v>
      </c>
    </row>
    <row r="329" spans="2:7" ht="78" customHeight="1">
      <c r="B329" s="705">
        <v>9</v>
      </c>
      <c r="C329" s="733" t="s">
        <v>1521</v>
      </c>
      <c r="D329" s="696" t="s">
        <v>24</v>
      </c>
      <c r="E329" s="697">
        <v>2</v>
      </c>
      <c r="F329" s="14"/>
      <c r="G329" s="790">
        <f t="shared" si="26"/>
        <v>0</v>
      </c>
    </row>
    <row r="330" spans="2:7">
      <c r="B330" s="705"/>
      <c r="C330" s="733"/>
      <c r="D330" s="696"/>
      <c r="E330" s="697"/>
      <c r="F330" s="722"/>
      <c r="G330" s="790"/>
    </row>
    <row r="331" spans="2:7">
      <c r="B331" s="705"/>
      <c r="C331" s="733" t="s">
        <v>1522</v>
      </c>
      <c r="D331" s="696"/>
      <c r="E331" s="697"/>
      <c r="F331" s="722"/>
      <c r="G331" s="790"/>
    </row>
    <row r="332" spans="2:7" ht="30.75" customHeight="1">
      <c r="B332" s="705">
        <v>10</v>
      </c>
      <c r="C332" s="733" t="s">
        <v>1523</v>
      </c>
      <c r="D332" s="696" t="s">
        <v>24</v>
      </c>
      <c r="E332" s="697">
        <v>28</v>
      </c>
      <c r="F332" s="14"/>
      <c r="G332" s="790">
        <f t="shared" ref="G332:G337" si="27">E332*F332</f>
        <v>0</v>
      </c>
    </row>
    <row r="333" spans="2:7" ht="45.75" customHeight="1">
      <c r="B333" s="705">
        <v>11</v>
      </c>
      <c r="C333" s="733" t="s">
        <v>1524</v>
      </c>
      <c r="D333" s="696" t="s">
        <v>1296</v>
      </c>
      <c r="E333" s="697">
        <v>45</v>
      </c>
      <c r="F333" s="14"/>
      <c r="G333" s="790">
        <f t="shared" si="27"/>
        <v>0</v>
      </c>
    </row>
    <row r="334" spans="2:7" ht="45.75" customHeight="1">
      <c r="B334" s="705">
        <v>12</v>
      </c>
      <c r="C334" s="733" t="s">
        <v>1525</v>
      </c>
      <c r="D334" s="696" t="s">
        <v>1296</v>
      </c>
      <c r="E334" s="697">
        <v>100</v>
      </c>
      <c r="F334" s="14"/>
      <c r="G334" s="790">
        <f t="shared" si="27"/>
        <v>0</v>
      </c>
    </row>
    <row r="335" spans="2:7" ht="28.5" customHeight="1">
      <c r="B335" s="705">
        <v>13</v>
      </c>
      <c r="C335" s="733" t="s">
        <v>1526</v>
      </c>
      <c r="D335" s="696" t="s">
        <v>1296</v>
      </c>
      <c r="E335" s="697">
        <v>10</v>
      </c>
      <c r="F335" s="14"/>
      <c r="G335" s="790">
        <f t="shared" si="27"/>
        <v>0</v>
      </c>
    </row>
    <row r="336" spans="2:7" ht="79.5" customHeight="1">
      <c r="B336" s="705">
        <v>14</v>
      </c>
      <c r="C336" s="733" t="s">
        <v>1527</v>
      </c>
      <c r="D336" s="696" t="s">
        <v>1296</v>
      </c>
      <c r="E336" s="697">
        <v>30</v>
      </c>
      <c r="F336" s="14"/>
      <c r="G336" s="790">
        <f t="shared" si="27"/>
        <v>0</v>
      </c>
    </row>
    <row r="337" spans="2:7" ht="76.5" customHeight="1">
      <c r="B337" s="705">
        <v>15</v>
      </c>
      <c r="C337" s="733" t="s">
        <v>1528</v>
      </c>
      <c r="D337" s="696" t="s">
        <v>1296</v>
      </c>
      <c r="E337" s="697">
        <v>50</v>
      </c>
      <c r="F337" s="14"/>
      <c r="G337" s="790">
        <f t="shared" si="27"/>
        <v>0</v>
      </c>
    </row>
    <row r="338" spans="2:7">
      <c r="B338" s="705"/>
      <c r="C338" s="733"/>
      <c r="D338" s="696"/>
      <c r="E338" s="697"/>
      <c r="F338" s="722"/>
      <c r="G338" s="790"/>
    </row>
    <row r="339" spans="2:7" ht="18" customHeight="1">
      <c r="B339" s="705"/>
      <c r="C339" s="733" t="s">
        <v>1529</v>
      </c>
      <c r="D339" s="696"/>
      <c r="E339" s="697"/>
      <c r="F339" s="722"/>
      <c r="G339" s="790"/>
    </row>
    <row r="340" spans="2:7">
      <c r="B340" s="705">
        <v>16</v>
      </c>
      <c r="C340" s="733" t="s">
        <v>1530</v>
      </c>
      <c r="D340" s="696" t="s">
        <v>1296</v>
      </c>
      <c r="E340" s="697">
        <v>100</v>
      </c>
      <c r="F340" s="14"/>
      <c r="G340" s="790">
        <f t="shared" ref="G340:G346" si="28">E340*F340</f>
        <v>0</v>
      </c>
    </row>
    <row r="341" spans="2:7">
      <c r="B341" s="705">
        <v>17</v>
      </c>
      <c r="C341" s="733" t="s">
        <v>1531</v>
      </c>
      <c r="D341" s="696" t="s">
        <v>1296</v>
      </c>
      <c r="E341" s="697">
        <v>250</v>
      </c>
      <c r="F341" s="14"/>
      <c r="G341" s="790">
        <f t="shared" si="28"/>
        <v>0</v>
      </c>
    </row>
    <row r="342" spans="2:7" ht="84">
      <c r="B342" s="705">
        <v>18</v>
      </c>
      <c r="C342" s="733" t="s">
        <v>1532</v>
      </c>
      <c r="D342" s="696" t="s">
        <v>1296</v>
      </c>
      <c r="E342" s="697">
        <v>2500</v>
      </c>
      <c r="F342" s="14"/>
      <c r="G342" s="790">
        <f t="shared" si="28"/>
        <v>0</v>
      </c>
    </row>
    <row r="343" spans="2:7" ht="73.5">
      <c r="B343" s="705">
        <v>19</v>
      </c>
      <c r="C343" s="733" t="s">
        <v>1533</v>
      </c>
      <c r="D343" s="696" t="s">
        <v>24</v>
      </c>
      <c r="E343" s="697">
        <v>102</v>
      </c>
      <c r="F343" s="14"/>
      <c r="G343" s="790">
        <f t="shared" si="28"/>
        <v>0</v>
      </c>
    </row>
    <row r="344" spans="2:7" ht="21">
      <c r="B344" s="705">
        <v>20</v>
      </c>
      <c r="C344" s="733" t="s">
        <v>1534</v>
      </c>
      <c r="D344" s="696" t="s">
        <v>24</v>
      </c>
      <c r="E344" s="697">
        <v>2</v>
      </c>
      <c r="F344" s="14"/>
      <c r="G344" s="790">
        <f t="shared" si="28"/>
        <v>0</v>
      </c>
    </row>
    <row r="345" spans="2:7">
      <c r="B345" s="705">
        <v>21</v>
      </c>
      <c r="C345" s="733" t="s">
        <v>1535</v>
      </c>
      <c r="D345" s="696" t="s">
        <v>24</v>
      </c>
      <c r="E345" s="697">
        <v>70</v>
      </c>
      <c r="F345" s="14"/>
      <c r="G345" s="790">
        <f t="shared" si="28"/>
        <v>0</v>
      </c>
    </row>
    <row r="346" spans="2:7">
      <c r="B346" s="705">
        <v>22</v>
      </c>
      <c r="C346" s="733" t="s">
        <v>1536</v>
      </c>
      <c r="D346" s="696" t="s">
        <v>24</v>
      </c>
      <c r="E346" s="697">
        <v>65</v>
      </c>
      <c r="F346" s="14"/>
      <c r="G346" s="790">
        <f t="shared" si="28"/>
        <v>0</v>
      </c>
    </row>
    <row r="347" spans="2:7" ht="13.5" customHeight="1">
      <c r="B347" s="705"/>
      <c r="C347" s="733"/>
      <c r="D347" s="696"/>
      <c r="E347" s="697"/>
      <c r="F347" s="722"/>
      <c r="G347" s="790"/>
    </row>
    <row r="348" spans="2:7" ht="23.25" customHeight="1">
      <c r="B348" s="705"/>
      <c r="C348" s="734" t="s">
        <v>1537</v>
      </c>
      <c r="D348" s="696"/>
      <c r="E348" s="697"/>
      <c r="F348" s="722"/>
      <c r="G348" s="790"/>
    </row>
    <row r="349" spans="2:7" ht="315">
      <c r="B349" s="705">
        <v>23</v>
      </c>
      <c r="C349" s="735" t="s">
        <v>1538</v>
      </c>
      <c r="D349" s="696" t="s">
        <v>24</v>
      </c>
      <c r="E349" s="697">
        <v>1</v>
      </c>
      <c r="F349" s="14"/>
      <c r="G349" s="790">
        <f t="shared" ref="G349" si="29">E349*F349</f>
        <v>0</v>
      </c>
    </row>
    <row r="350" spans="2:7">
      <c r="B350" s="705"/>
      <c r="C350" s="734"/>
      <c r="D350" s="696"/>
      <c r="E350" s="697"/>
      <c r="F350" s="722"/>
      <c r="G350" s="790"/>
    </row>
    <row r="351" spans="2:7">
      <c r="B351" s="705"/>
      <c r="C351" s="734" t="s">
        <v>1539</v>
      </c>
      <c r="D351" s="696"/>
      <c r="E351" s="697"/>
      <c r="F351" s="722"/>
      <c r="G351" s="790"/>
    </row>
    <row r="352" spans="2:7" ht="63">
      <c r="B352" s="705">
        <v>24</v>
      </c>
      <c r="C352" s="733" t="s">
        <v>1540</v>
      </c>
      <c r="D352" s="696" t="s">
        <v>1436</v>
      </c>
      <c r="E352" s="697">
        <v>1</v>
      </c>
      <c r="F352" s="14"/>
      <c r="G352" s="790">
        <f t="shared" ref="G352:G355" si="30">E352*F352</f>
        <v>0</v>
      </c>
    </row>
    <row r="353" spans="2:7" ht="42">
      <c r="B353" s="705">
        <v>25</v>
      </c>
      <c r="C353" s="733" t="s">
        <v>1541</v>
      </c>
      <c r="D353" s="696" t="s">
        <v>1436</v>
      </c>
      <c r="E353" s="697">
        <v>1</v>
      </c>
      <c r="F353" s="14"/>
      <c r="G353" s="790">
        <f t="shared" si="30"/>
        <v>0</v>
      </c>
    </row>
    <row r="354" spans="2:7">
      <c r="B354" s="705">
        <v>26</v>
      </c>
      <c r="C354" s="733" t="s">
        <v>1542</v>
      </c>
      <c r="D354" s="696" t="s">
        <v>1436</v>
      </c>
      <c r="E354" s="697">
        <v>1</v>
      </c>
      <c r="F354" s="14"/>
      <c r="G354" s="790">
        <f t="shared" si="30"/>
        <v>0</v>
      </c>
    </row>
    <row r="355" spans="2:7">
      <c r="B355" s="705">
        <v>27</v>
      </c>
      <c r="C355" s="734" t="s">
        <v>1435</v>
      </c>
      <c r="D355" s="696" t="s">
        <v>1436</v>
      </c>
      <c r="E355" s="697">
        <v>1</v>
      </c>
      <c r="F355" s="14"/>
      <c r="G355" s="790">
        <f t="shared" si="30"/>
        <v>0</v>
      </c>
    </row>
    <row r="356" spans="2:7">
      <c r="B356" s="714"/>
      <c r="C356" s="736" t="s">
        <v>1444</v>
      </c>
      <c r="D356" s="716"/>
      <c r="E356" s="804"/>
      <c r="F356" s="797"/>
      <c r="G356" s="795">
        <f>SUM(G321:G355)</f>
        <v>0</v>
      </c>
    </row>
    <row r="357" spans="2:7">
      <c r="C357" s="737"/>
      <c r="F357" s="785"/>
    </row>
    <row r="358" spans="2:7">
      <c r="C358" s="737"/>
      <c r="F358" s="785"/>
    </row>
    <row r="359" spans="2:7">
      <c r="B359" s="675" t="s">
        <v>1407</v>
      </c>
      <c r="C359" s="738" t="s">
        <v>1408</v>
      </c>
      <c r="D359" s="677" t="s">
        <v>1409</v>
      </c>
      <c r="E359" s="787" t="s">
        <v>1410</v>
      </c>
      <c r="F359" s="787" t="s">
        <v>1411</v>
      </c>
      <c r="G359" s="788" t="s">
        <v>1412</v>
      </c>
    </row>
    <row r="360" spans="2:7">
      <c r="B360" s="675" t="s">
        <v>1413</v>
      </c>
      <c r="C360" s="738" t="s">
        <v>1645</v>
      </c>
      <c r="D360" s="677" t="s">
        <v>1414</v>
      </c>
      <c r="E360" s="787"/>
      <c r="F360" s="787"/>
      <c r="G360" s="788" t="s">
        <v>1446</v>
      </c>
    </row>
    <row r="361" spans="2:7">
      <c r="B361" s="739"/>
      <c r="C361" s="740"/>
      <c r="D361" s="741"/>
      <c r="E361" s="802"/>
      <c r="F361" s="802"/>
      <c r="G361" s="803"/>
    </row>
    <row r="362" spans="2:7" ht="56.25" customHeight="1">
      <c r="B362" s="742">
        <v>1</v>
      </c>
      <c r="C362" s="743" t="s">
        <v>1543</v>
      </c>
      <c r="D362" s="742" t="s">
        <v>24</v>
      </c>
      <c r="E362" s="805">
        <v>1</v>
      </c>
      <c r="F362" s="806"/>
      <c r="G362" s="790">
        <f t="shared" ref="G362:G378" si="31">E362*F362</f>
        <v>0</v>
      </c>
    </row>
    <row r="363" spans="2:7" ht="20.25">
      <c r="B363" s="742">
        <v>2</v>
      </c>
      <c r="C363" s="743" t="s">
        <v>1544</v>
      </c>
      <c r="D363" s="742" t="s">
        <v>24</v>
      </c>
      <c r="E363" s="805">
        <v>1</v>
      </c>
      <c r="F363" s="806"/>
      <c r="G363" s="790">
        <f t="shared" si="31"/>
        <v>0</v>
      </c>
    </row>
    <row r="364" spans="2:7" ht="20.25">
      <c r="B364" s="742">
        <v>3</v>
      </c>
      <c r="C364" s="743" t="s">
        <v>1545</v>
      </c>
      <c r="D364" s="742" t="s">
        <v>24</v>
      </c>
      <c r="E364" s="805">
        <v>20</v>
      </c>
      <c r="F364" s="806"/>
      <c r="G364" s="790">
        <f t="shared" si="31"/>
        <v>0</v>
      </c>
    </row>
    <row r="365" spans="2:7">
      <c r="B365" s="742">
        <v>4</v>
      </c>
      <c r="C365" s="743" t="s">
        <v>1546</v>
      </c>
      <c r="D365" s="742" t="s">
        <v>24</v>
      </c>
      <c r="E365" s="805">
        <v>2</v>
      </c>
      <c r="F365" s="806"/>
      <c r="G365" s="790">
        <f t="shared" si="31"/>
        <v>0</v>
      </c>
    </row>
    <row r="366" spans="2:7" ht="42.75" customHeight="1">
      <c r="B366" s="742">
        <v>5</v>
      </c>
      <c r="C366" s="743" t="s">
        <v>1547</v>
      </c>
      <c r="D366" s="742" t="s">
        <v>24</v>
      </c>
      <c r="E366" s="805">
        <v>108</v>
      </c>
      <c r="F366" s="806"/>
      <c r="G366" s="790">
        <f t="shared" si="31"/>
        <v>0</v>
      </c>
    </row>
    <row r="367" spans="2:7">
      <c r="B367" s="742">
        <v>6</v>
      </c>
      <c r="C367" s="743" t="s">
        <v>1548</v>
      </c>
      <c r="D367" s="742" t="s">
        <v>24</v>
      </c>
      <c r="E367" s="805">
        <v>18</v>
      </c>
      <c r="F367" s="806"/>
      <c r="G367" s="790">
        <f t="shared" si="31"/>
        <v>0</v>
      </c>
    </row>
    <row r="368" spans="2:7" ht="20.25">
      <c r="B368" s="742">
        <v>7</v>
      </c>
      <c r="C368" s="743" t="s">
        <v>1913</v>
      </c>
      <c r="D368" s="742" t="s">
        <v>24</v>
      </c>
      <c r="E368" s="805">
        <v>1</v>
      </c>
      <c r="F368" s="806"/>
      <c r="G368" s="790">
        <f t="shared" si="31"/>
        <v>0</v>
      </c>
    </row>
    <row r="369" spans="2:7" ht="20.25">
      <c r="B369" s="742">
        <v>8</v>
      </c>
      <c r="C369" s="743" t="s">
        <v>1549</v>
      </c>
      <c r="D369" s="742" t="s">
        <v>24</v>
      </c>
      <c r="E369" s="805">
        <v>5</v>
      </c>
      <c r="F369" s="806"/>
      <c r="G369" s="790">
        <f t="shared" si="31"/>
        <v>0</v>
      </c>
    </row>
    <row r="370" spans="2:7" ht="20.25">
      <c r="B370" s="742">
        <v>9</v>
      </c>
      <c r="C370" s="743" t="s">
        <v>1550</v>
      </c>
      <c r="D370" s="742" t="s">
        <v>1296</v>
      </c>
      <c r="E370" s="805">
        <v>1800</v>
      </c>
      <c r="F370" s="806"/>
      <c r="G370" s="790">
        <f t="shared" si="31"/>
        <v>0</v>
      </c>
    </row>
    <row r="371" spans="2:7">
      <c r="B371" s="742">
        <v>10</v>
      </c>
      <c r="C371" s="743" t="s">
        <v>1551</v>
      </c>
      <c r="D371" s="742" t="s">
        <v>1296</v>
      </c>
      <c r="E371" s="805">
        <v>550</v>
      </c>
      <c r="F371" s="806"/>
      <c r="G371" s="790">
        <f t="shared" si="31"/>
        <v>0</v>
      </c>
    </row>
    <row r="372" spans="2:7">
      <c r="B372" s="742">
        <v>11</v>
      </c>
      <c r="C372" s="743" t="s">
        <v>1552</v>
      </c>
      <c r="D372" s="742" t="s">
        <v>24</v>
      </c>
      <c r="E372" s="805">
        <v>600</v>
      </c>
      <c r="F372" s="806"/>
      <c r="G372" s="790">
        <f t="shared" si="31"/>
        <v>0</v>
      </c>
    </row>
    <row r="373" spans="2:7">
      <c r="B373" s="742">
        <v>12</v>
      </c>
      <c r="C373" s="743" t="s">
        <v>1553</v>
      </c>
      <c r="D373" s="742" t="s">
        <v>24</v>
      </c>
      <c r="E373" s="805">
        <v>160</v>
      </c>
      <c r="F373" s="806"/>
      <c r="G373" s="790">
        <f t="shared" si="31"/>
        <v>0</v>
      </c>
    </row>
    <row r="374" spans="2:7" ht="20.25">
      <c r="B374" s="742">
        <v>13</v>
      </c>
      <c r="C374" s="743" t="s">
        <v>1554</v>
      </c>
      <c r="D374" s="742" t="s">
        <v>1296</v>
      </c>
      <c r="E374" s="805">
        <v>1200</v>
      </c>
      <c r="F374" s="806"/>
      <c r="G374" s="790">
        <f t="shared" si="31"/>
        <v>0</v>
      </c>
    </row>
    <row r="375" spans="2:7">
      <c r="B375" s="742">
        <v>14</v>
      </c>
      <c r="C375" s="743" t="s">
        <v>1555</v>
      </c>
      <c r="D375" s="742" t="s">
        <v>1436</v>
      </c>
      <c r="E375" s="805">
        <v>1</v>
      </c>
      <c r="F375" s="806"/>
      <c r="G375" s="790">
        <f t="shared" si="31"/>
        <v>0</v>
      </c>
    </row>
    <row r="376" spans="2:7" ht="20.25">
      <c r="B376" s="742">
        <v>15</v>
      </c>
      <c r="C376" s="743" t="s">
        <v>1556</v>
      </c>
      <c r="D376" s="742" t="s">
        <v>1436</v>
      </c>
      <c r="E376" s="805">
        <v>1</v>
      </c>
      <c r="F376" s="806"/>
      <c r="G376" s="790">
        <f t="shared" si="31"/>
        <v>0</v>
      </c>
    </row>
    <row r="377" spans="2:7" ht="20.25">
      <c r="B377" s="742">
        <v>16</v>
      </c>
      <c r="C377" s="743" t="s">
        <v>1557</v>
      </c>
      <c r="D377" s="742" t="s">
        <v>1436</v>
      </c>
      <c r="E377" s="805">
        <v>1</v>
      </c>
      <c r="F377" s="806"/>
      <c r="G377" s="790">
        <f t="shared" si="31"/>
        <v>0</v>
      </c>
    </row>
    <row r="378" spans="2:7">
      <c r="B378" s="742">
        <v>17</v>
      </c>
      <c r="C378" s="744" t="s">
        <v>1558</v>
      </c>
      <c r="D378" s="745" t="s">
        <v>1436</v>
      </c>
      <c r="E378" s="807">
        <v>1</v>
      </c>
      <c r="F378" s="808"/>
      <c r="G378" s="790">
        <f t="shared" si="31"/>
        <v>0</v>
      </c>
    </row>
    <row r="379" spans="2:7">
      <c r="B379" s="714"/>
      <c r="C379" s="736" t="s">
        <v>1444</v>
      </c>
      <c r="D379" s="716"/>
      <c r="E379" s="796"/>
      <c r="F379" s="797"/>
      <c r="G379" s="795">
        <f>SUM(G362:G378)</f>
        <v>0</v>
      </c>
    </row>
    <row r="380" spans="2:7">
      <c r="C380" s="737"/>
      <c r="F380" s="785"/>
    </row>
    <row r="381" spans="2:7">
      <c r="C381" s="737"/>
      <c r="F381" s="785"/>
    </row>
    <row r="382" spans="2:7">
      <c r="B382" s="675" t="s">
        <v>1407</v>
      </c>
      <c r="C382" s="738" t="s">
        <v>1408</v>
      </c>
      <c r="D382" s="677" t="s">
        <v>1409</v>
      </c>
      <c r="E382" s="787" t="s">
        <v>1410</v>
      </c>
      <c r="F382" s="787" t="s">
        <v>1411</v>
      </c>
      <c r="G382" s="788" t="s">
        <v>1412</v>
      </c>
    </row>
    <row r="383" spans="2:7">
      <c r="B383" s="675" t="s">
        <v>1413</v>
      </c>
      <c r="C383" s="738" t="s">
        <v>1561</v>
      </c>
      <c r="D383" s="677" t="s">
        <v>1414</v>
      </c>
      <c r="E383" s="787"/>
      <c r="F383" s="787"/>
      <c r="G383" s="788" t="s">
        <v>1446</v>
      </c>
    </row>
    <row r="384" spans="2:7">
      <c r="B384" s="746"/>
      <c r="C384" s="747"/>
      <c r="D384" s="746"/>
      <c r="E384" s="802"/>
      <c r="F384" s="802"/>
      <c r="G384" s="802"/>
    </row>
    <row r="385" spans="2:7">
      <c r="B385" s="746"/>
      <c r="C385" s="747"/>
      <c r="D385" s="746"/>
      <c r="E385" s="802"/>
      <c r="F385" s="802"/>
      <c r="G385" s="802"/>
    </row>
    <row r="386" spans="2:7" ht="30.4">
      <c r="B386" s="742">
        <v>1</v>
      </c>
      <c r="C386" s="743" t="s">
        <v>1562</v>
      </c>
      <c r="D386" s="742" t="s">
        <v>1296</v>
      </c>
      <c r="E386" s="805">
        <v>1180</v>
      </c>
      <c r="F386" s="808"/>
      <c r="G386" s="790">
        <f t="shared" ref="G386:G400" si="32">E386*F386</f>
        <v>0</v>
      </c>
    </row>
    <row r="387" spans="2:7" ht="30.75" customHeight="1">
      <c r="B387" s="742">
        <v>2</v>
      </c>
      <c r="C387" s="743" t="s">
        <v>1563</v>
      </c>
      <c r="D387" s="742" t="s">
        <v>24</v>
      </c>
      <c r="E387" s="805">
        <v>30</v>
      </c>
      <c r="F387" s="808"/>
      <c r="G387" s="790">
        <f t="shared" si="32"/>
        <v>0</v>
      </c>
    </row>
    <row r="388" spans="2:7" ht="41.25" customHeight="1">
      <c r="B388" s="742">
        <v>3</v>
      </c>
      <c r="C388" s="743" t="s">
        <v>1564</v>
      </c>
      <c r="D388" s="742" t="s">
        <v>24</v>
      </c>
      <c r="E388" s="805">
        <v>40</v>
      </c>
      <c r="F388" s="808"/>
      <c r="G388" s="790">
        <f t="shared" si="32"/>
        <v>0</v>
      </c>
    </row>
    <row r="389" spans="2:7" ht="42" customHeight="1">
      <c r="B389" s="742">
        <v>4</v>
      </c>
      <c r="C389" s="743" t="s">
        <v>1565</v>
      </c>
      <c r="D389" s="742" t="s">
        <v>24</v>
      </c>
      <c r="E389" s="805">
        <v>10</v>
      </c>
      <c r="F389" s="808"/>
      <c r="G389" s="790">
        <f t="shared" si="32"/>
        <v>0</v>
      </c>
    </row>
    <row r="390" spans="2:7" ht="31.5" customHeight="1">
      <c r="B390" s="742">
        <v>5</v>
      </c>
      <c r="C390" s="743" t="s">
        <v>1566</v>
      </c>
      <c r="D390" s="742" t="s">
        <v>24</v>
      </c>
      <c r="E390" s="805">
        <v>20</v>
      </c>
      <c r="F390" s="808"/>
      <c r="G390" s="790">
        <f t="shared" si="32"/>
        <v>0</v>
      </c>
    </row>
    <row r="391" spans="2:7" ht="40.5" customHeight="1">
      <c r="B391" s="742">
        <v>6</v>
      </c>
      <c r="C391" s="743" t="s">
        <v>1567</v>
      </c>
      <c r="D391" s="742" t="s">
        <v>24</v>
      </c>
      <c r="E391" s="805">
        <v>20</v>
      </c>
      <c r="F391" s="808"/>
      <c r="G391" s="790">
        <f t="shared" si="32"/>
        <v>0</v>
      </c>
    </row>
    <row r="392" spans="2:7" ht="42" customHeight="1">
      <c r="B392" s="742">
        <v>7</v>
      </c>
      <c r="C392" s="743" t="s">
        <v>1568</v>
      </c>
      <c r="D392" s="742" t="s">
        <v>24</v>
      </c>
      <c r="E392" s="805">
        <v>55</v>
      </c>
      <c r="F392" s="808"/>
      <c r="G392" s="790">
        <f t="shared" si="32"/>
        <v>0</v>
      </c>
    </row>
    <row r="393" spans="2:7" ht="32.25" customHeight="1">
      <c r="B393" s="742">
        <v>8</v>
      </c>
      <c r="C393" s="743" t="s">
        <v>1569</v>
      </c>
      <c r="D393" s="742" t="s">
        <v>24</v>
      </c>
      <c r="E393" s="805">
        <v>160</v>
      </c>
      <c r="F393" s="808"/>
      <c r="G393" s="790">
        <f t="shared" si="32"/>
        <v>0</v>
      </c>
    </row>
    <row r="394" spans="2:7" ht="28.5" customHeight="1">
      <c r="B394" s="742">
        <v>9</v>
      </c>
      <c r="C394" s="743" t="s">
        <v>1570</v>
      </c>
      <c r="D394" s="742" t="s">
        <v>24</v>
      </c>
      <c r="E394" s="805">
        <v>13</v>
      </c>
      <c r="F394" s="808"/>
      <c r="G394" s="790">
        <f t="shared" si="32"/>
        <v>0</v>
      </c>
    </row>
    <row r="395" spans="2:7" ht="22.5" customHeight="1">
      <c r="B395" s="742">
        <v>10</v>
      </c>
      <c r="C395" s="743" t="s">
        <v>1571</v>
      </c>
      <c r="D395" s="742" t="s">
        <v>1296</v>
      </c>
      <c r="E395" s="805">
        <v>70</v>
      </c>
      <c r="F395" s="808"/>
      <c r="G395" s="790">
        <f t="shared" si="32"/>
        <v>0</v>
      </c>
    </row>
    <row r="396" spans="2:7" ht="21" customHeight="1">
      <c r="B396" s="742">
        <v>11</v>
      </c>
      <c r="C396" s="743" t="s">
        <v>1572</v>
      </c>
      <c r="D396" s="742" t="s">
        <v>24</v>
      </c>
      <c r="E396" s="805">
        <v>2</v>
      </c>
      <c r="F396" s="808"/>
      <c r="G396" s="790">
        <f t="shared" si="32"/>
        <v>0</v>
      </c>
    </row>
    <row r="397" spans="2:7" ht="30" customHeight="1">
      <c r="B397" s="742">
        <v>12</v>
      </c>
      <c r="C397" s="743" t="s">
        <v>1573</v>
      </c>
      <c r="D397" s="742" t="s">
        <v>10</v>
      </c>
      <c r="E397" s="805">
        <v>14.5</v>
      </c>
      <c r="F397" s="808"/>
      <c r="G397" s="790">
        <f t="shared" si="32"/>
        <v>0</v>
      </c>
    </row>
    <row r="398" spans="2:7" ht="21" customHeight="1">
      <c r="B398" s="742">
        <v>13</v>
      </c>
      <c r="C398" s="743" t="s">
        <v>1574</v>
      </c>
      <c r="D398" s="742" t="s">
        <v>2</v>
      </c>
      <c r="E398" s="805">
        <v>2</v>
      </c>
      <c r="F398" s="808"/>
      <c r="G398" s="790">
        <f t="shared" si="32"/>
        <v>0</v>
      </c>
    </row>
    <row r="399" spans="2:7" ht="20.25" customHeight="1">
      <c r="B399" s="742">
        <v>14</v>
      </c>
      <c r="C399" s="743" t="s">
        <v>1575</v>
      </c>
      <c r="D399" s="742" t="s">
        <v>1436</v>
      </c>
      <c r="E399" s="805">
        <v>1</v>
      </c>
      <c r="F399" s="808"/>
      <c r="G399" s="790">
        <f t="shared" si="32"/>
        <v>0</v>
      </c>
    </row>
    <row r="400" spans="2:7" ht="23.25" customHeight="1">
      <c r="B400" s="742">
        <v>15</v>
      </c>
      <c r="C400" s="743" t="s">
        <v>1576</v>
      </c>
      <c r="D400" s="742" t="s">
        <v>24</v>
      </c>
      <c r="E400" s="805">
        <v>1</v>
      </c>
      <c r="F400" s="808"/>
      <c r="G400" s="790">
        <f t="shared" si="32"/>
        <v>0</v>
      </c>
    </row>
    <row r="401" spans="2:7">
      <c r="B401" s="748"/>
      <c r="C401" s="736" t="s">
        <v>1444</v>
      </c>
      <c r="D401" s="749"/>
      <c r="E401" s="796"/>
      <c r="F401" s="797"/>
      <c r="G401" s="795">
        <f>SUM(G386:G400)</f>
        <v>0</v>
      </c>
    </row>
    <row r="402" spans="2:7">
      <c r="C402" s="737"/>
      <c r="F402" s="785"/>
    </row>
    <row r="403" spans="2:7">
      <c r="C403" s="737"/>
      <c r="F403" s="785"/>
    </row>
    <row r="404" spans="2:7">
      <c r="B404" s="675" t="s">
        <v>1407</v>
      </c>
      <c r="C404" s="738" t="s">
        <v>1408</v>
      </c>
      <c r="D404" s="677" t="s">
        <v>1409</v>
      </c>
      <c r="E404" s="787" t="s">
        <v>1410</v>
      </c>
      <c r="F404" s="787" t="s">
        <v>1411</v>
      </c>
      <c r="G404" s="788" t="s">
        <v>1412</v>
      </c>
    </row>
    <row r="405" spans="2:7">
      <c r="B405" s="675" t="s">
        <v>1413</v>
      </c>
      <c r="C405" s="738" t="s">
        <v>1577</v>
      </c>
      <c r="D405" s="677" t="s">
        <v>1414</v>
      </c>
      <c r="E405" s="787"/>
      <c r="F405" s="787"/>
      <c r="G405" s="788" t="s">
        <v>1446</v>
      </c>
    </row>
    <row r="406" spans="2:7">
      <c r="B406" s="679"/>
      <c r="C406" s="750"/>
      <c r="D406" s="681"/>
      <c r="E406" s="789"/>
      <c r="F406" s="789"/>
      <c r="G406" s="789"/>
    </row>
    <row r="407" spans="2:7">
      <c r="B407" s="679"/>
      <c r="C407" s="751" t="s">
        <v>1887</v>
      </c>
      <c r="D407" s="681"/>
      <c r="E407" s="789"/>
      <c r="F407" s="789"/>
      <c r="G407" s="789"/>
    </row>
    <row r="408" spans="2:7" ht="112.5" customHeight="1">
      <c r="B408" s="742">
        <v>1</v>
      </c>
      <c r="C408" s="707" t="s">
        <v>1578</v>
      </c>
      <c r="D408" s="696" t="s">
        <v>1283</v>
      </c>
      <c r="E408" s="697">
        <v>37</v>
      </c>
      <c r="F408" s="13"/>
      <c r="G408" s="790">
        <f t="shared" ref="G408:G452" si="33">E408*F408</f>
        <v>0</v>
      </c>
    </row>
    <row r="409" spans="2:7" ht="115.5" customHeight="1">
      <c r="B409" s="742">
        <v>2</v>
      </c>
      <c r="C409" s="707" t="s">
        <v>1579</v>
      </c>
      <c r="D409" s="696" t="s">
        <v>1283</v>
      </c>
      <c r="E409" s="697">
        <v>292</v>
      </c>
      <c r="F409" s="13"/>
      <c r="G409" s="790">
        <f t="shared" si="33"/>
        <v>0</v>
      </c>
    </row>
    <row r="410" spans="2:7" ht="123" customHeight="1">
      <c r="B410" s="742">
        <v>3</v>
      </c>
      <c r="C410" s="707" t="s">
        <v>1580</v>
      </c>
      <c r="D410" s="696" t="s">
        <v>1283</v>
      </c>
      <c r="E410" s="697">
        <v>19</v>
      </c>
      <c r="F410" s="13"/>
      <c r="G410" s="790">
        <f t="shared" si="33"/>
        <v>0</v>
      </c>
    </row>
    <row r="411" spans="2:7" ht="122.25" customHeight="1">
      <c r="B411" s="742">
        <v>4</v>
      </c>
      <c r="C411" s="707" t="s">
        <v>1581</v>
      </c>
      <c r="D411" s="696" t="s">
        <v>1283</v>
      </c>
      <c r="E411" s="697">
        <v>6</v>
      </c>
      <c r="F411" s="13"/>
      <c r="G411" s="790">
        <f t="shared" si="33"/>
        <v>0</v>
      </c>
    </row>
    <row r="412" spans="2:7" ht="98.25" customHeight="1">
      <c r="B412" s="742">
        <v>5</v>
      </c>
      <c r="C412" s="707" t="s">
        <v>1582</v>
      </c>
      <c r="D412" s="696" t="s">
        <v>1283</v>
      </c>
      <c r="E412" s="697">
        <v>3</v>
      </c>
      <c r="F412" s="13"/>
      <c r="G412" s="790">
        <f t="shared" si="33"/>
        <v>0</v>
      </c>
    </row>
    <row r="413" spans="2:7" ht="85.5" customHeight="1">
      <c r="B413" s="742">
        <v>6</v>
      </c>
      <c r="C413" s="707" t="s">
        <v>1583</v>
      </c>
      <c r="D413" s="696" t="s">
        <v>1283</v>
      </c>
      <c r="E413" s="697">
        <v>2</v>
      </c>
      <c r="F413" s="13"/>
      <c r="G413" s="790">
        <f t="shared" si="33"/>
        <v>0</v>
      </c>
    </row>
    <row r="414" spans="2:7">
      <c r="B414" s="742" t="s">
        <v>1584</v>
      </c>
      <c r="C414" s="707" t="s">
        <v>1585</v>
      </c>
      <c r="D414" s="696" t="s">
        <v>24</v>
      </c>
      <c r="E414" s="697">
        <v>2</v>
      </c>
      <c r="F414" s="13"/>
      <c r="G414" s="790">
        <f t="shared" si="33"/>
        <v>0</v>
      </c>
    </row>
    <row r="415" spans="2:7" ht="99" customHeight="1">
      <c r="B415" s="742">
        <v>7</v>
      </c>
      <c r="C415" s="707" t="s">
        <v>1586</v>
      </c>
      <c r="D415" s="696" t="s">
        <v>24</v>
      </c>
      <c r="E415" s="697">
        <v>2</v>
      </c>
      <c r="F415" s="13"/>
      <c r="G415" s="790">
        <f t="shared" si="33"/>
        <v>0</v>
      </c>
    </row>
    <row r="416" spans="2:7" ht="97.5" customHeight="1">
      <c r="B416" s="742">
        <v>8</v>
      </c>
      <c r="C416" s="707" t="s">
        <v>1587</v>
      </c>
      <c r="D416" s="696" t="s">
        <v>1283</v>
      </c>
      <c r="E416" s="697">
        <v>2</v>
      </c>
      <c r="F416" s="13"/>
      <c r="G416" s="790">
        <f t="shared" si="33"/>
        <v>0</v>
      </c>
    </row>
    <row r="417" spans="2:7" ht="91.5" customHeight="1">
      <c r="B417" s="742">
        <v>9</v>
      </c>
      <c r="C417" s="707" t="s">
        <v>1588</v>
      </c>
      <c r="D417" s="696" t="s">
        <v>24</v>
      </c>
      <c r="E417" s="697">
        <v>2</v>
      </c>
      <c r="F417" s="13"/>
      <c r="G417" s="790">
        <f>E417*F417</f>
        <v>0</v>
      </c>
    </row>
    <row r="418" spans="2:7">
      <c r="B418" s="705" t="s">
        <v>1589</v>
      </c>
      <c r="C418" s="707" t="s">
        <v>1915</v>
      </c>
      <c r="D418" s="696" t="s">
        <v>24</v>
      </c>
      <c r="E418" s="697">
        <v>4</v>
      </c>
      <c r="F418" s="13"/>
      <c r="G418" s="790">
        <f t="shared" si="33"/>
        <v>0</v>
      </c>
    </row>
    <row r="419" spans="2:7" ht="127.5" customHeight="1">
      <c r="B419" s="705">
        <v>10</v>
      </c>
      <c r="C419" s="707" t="s">
        <v>1914</v>
      </c>
      <c r="D419" s="696" t="s">
        <v>24</v>
      </c>
      <c r="E419" s="697">
        <v>28</v>
      </c>
      <c r="F419" s="13"/>
      <c r="G419" s="790">
        <f t="shared" si="33"/>
        <v>0</v>
      </c>
    </row>
    <row r="420" spans="2:7" ht="126" customHeight="1">
      <c r="B420" s="705">
        <v>11</v>
      </c>
      <c r="C420" s="707" t="s">
        <v>1591</v>
      </c>
      <c r="D420" s="696" t="s">
        <v>24</v>
      </c>
      <c r="E420" s="697">
        <v>14</v>
      </c>
      <c r="F420" s="13"/>
      <c r="G420" s="790">
        <f t="shared" si="33"/>
        <v>0</v>
      </c>
    </row>
    <row r="421" spans="2:7">
      <c r="B421" s="705" t="s">
        <v>1592</v>
      </c>
      <c r="C421" s="752" t="s">
        <v>1593</v>
      </c>
      <c r="D421" s="696" t="s">
        <v>24</v>
      </c>
      <c r="E421" s="697">
        <v>14</v>
      </c>
      <c r="F421" s="13"/>
      <c r="G421" s="790">
        <f t="shared" si="33"/>
        <v>0</v>
      </c>
    </row>
    <row r="422" spans="2:7" ht="84" customHeight="1">
      <c r="B422" s="705">
        <v>12</v>
      </c>
      <c r="C422" s="707" t="s">
        <v>1594</v>
      </c>
      <c r="D422" s="696" t="s">
        <v>24</v>
      </c>
      <c r="E422" s="697">
        <v>42</v>
      </c>
      <c r="F422" s="13"/>
      <c r="G422" s="790">
        <f t="shared" si="33"/>
        <v>0</v>
      </c>
    </row>
    <row r="423" spans="2:7">
      <c r="B423" s="705" t="s">
        <v>1595</v>
      </c>
      <c r="C423" s="752" t="s">
        <v>1585</v>
      </c>
      <c r="D423" s="696" t="s">
        <v>24</v>
      </c>
      <c r="E423" s="697">
        <v>42</v>
      </c>
      <c r="F423" s="13"/>
      <c r="G423" s="790">
        <f t="shared" si="33"/>
        <v>0</v>
      </c>
    </row>
    <row r="424" spans="2:7" ht="80.25" customHeight="1">
      <c r="B424" s="705">
        <v>13</v>
      </c>
      <c r="C424" s="707" t="s">
        <v>1596</v>
      </c>
      <c r="D424" s="696" t="s">
        <v>24</v>
      </c>
      <c r="E424" s="697">
        <v>4</v>
      </c>
      <c r="F424" s="13"/>
      <c r="G424" s="790">
        <f t="shared" si="33"/>
        <v>0</v>
      </c>
    </row>
    <row r="425" spans="2:7" ht="83.25" customHeight="1">
      <c r="B425" s="705">
        <v>14</v>
      </c>
      <c r="C425" s="707" t="s">
        <v>1597</v>
      </c>
      <c r="D425" s="696" t="s">
        <v>24</v>
      </c>
      <c r="E425" s="697">
        <v>4</v>
      </c>
      <c r="F425" s="13"/>
      <c r="G425" s="790">
        <f t="shared" si="33"/>
        <v>0</v>
      </c>
    </row>
    <row r="426" spans="2:7" ht="82.5" customHeight="1">
      <c r="B426" s="705">
        <v>15</v>
      </c>
      <c r="C426" s="707" t="s">
        <v>1598</v>
      </c>
      <c r="D426" s="696" t="s">
        <v>24</v>
      </c>
      <c r="E426" s="697">
        <v>4</v>
      </c>
      <c r="F426" s="13"/>
      <c r="G426" s="790">
        <f t="shared" si="33"/>
        <v>0</v>
      </c>
    </row>
    <row r="427" spans="2:7">
      <c r="B427" s="705" t="s">
        <v>1599</v>
      </c>
      <c r="C427" s="753" t="s">
        <v>1600</v>
      </c>
      <c r="D427" s="696" t="s">
        <v>24</v>
      </c>
      <c r="E427" s="697">
        <v>4</v>
      </c>
      <c r="F427" s="13"/>
      <c r="G427" s="790">
        <f t="shared" si="33"/>
        <v>0</v>
      </c>
    </row>
    <row r="428" spans="2:7">
      <c r="B428" s="705" t="s">
        <v>1601</v>
      </c>
      <c r="C428" s="753" t="s">
        <v>1602</v>
      </c>
      <c r="D428" s="696" t="s">
        <v>24</v>
      </c>
      <c r="E428" s="697">
        <v>20</v>
      </c>
      <c r="F428" s="13"/>
      <c r="G428" s="790">
        <f t="shared" si="33"/>
        <v>0</v>
      </c>
    </row>
    <row r="429" spans="2:7">
      <c r="B429" s="705" t="s">
        <v>1603</v>
      </c>
      <c r="C429" s="753" t="s">
        <v>1590</v>
      </c>
      <c r="D429" s="696" t="s">
        <v>24</v>
      </c>
      <c r="E429" s="697">
        <v>8</v>
      </c>
      <c r="F429" s="13"/>
      <c r="G429" s="790">
        <f t="shared" si="33"/>
        <v>0</v>
      </c>
    </row>
    <row r="430" spans="2:7" ht="69" customHeight="1">
      <c r="B430" s="681">
        <v>16</v>
      </c>
      <c r="C430" s="707" t="s">
        <v>1604</v>
      </c>
      <c r="D430" s="696" t="s">
        <v>24</v>
      </c>
      <c r="E430" s="697">
        <v>13</v>
      </c>
      <c r="F430" s="13"/>
      <c r="G430" s="790">
        <f t="shared" si="33"/>
        <v>0</v>
      </c>
    </row>
    <row r="431" spans="2:7" ht="85.5" customHeight="1">
      <c r="B431" s="681">
        <v>17</v>
      </c>
      <c r="C431" s="707" t="s">
        <v>1605</v>
      </c>
      <c r="D431" s="696" t="s">
        <v>24</v>
      </c>
      <c r="E431" s="697">
        <v>3</v>
      </c>
      <c r="F431" s="13"/>
      <c r="G431" s="790">
        <f t="shared" si="33"/>
        <v>0</v>
      </c>
    </row>
    <row r="432" spans="2:7" ht="85.5" customHeight="1">
      <c r="B432" s="681">
        <v>18</v>
      </c>
      <c r="C432" s="707" t="s">
        <v>1606</v>
      </c>
      <c r="D432" s="696" t="s">
        <v>24</v>
      </c>
      <c r="E432" s="697">
        <v>4</v>
      </c>
      <c r="F432" s="13"/>
      <c r="G432" s="790">
        <f t="shared" si="33"/>
        <v>0</v>
      </c>
    </row>
    <row r="433" spans="2:7" ht="90.75" customHeight="1">
      <c r="B433" s="681">
        <v>19</v>
      </c>
      <c r="C433" s="707" t="s">
        <v>1607</v>
      </c>
      <c r="D433" s="696" t="s">
        <v>24</v>
      </c>
      <c r="E433" s="697">
        <v>4</v>
      </c>
      <c r="F433" s="13"/>
      <c r="G433" s="790">
        <f t="shared" si="33"/>
        <v>0</v>
      </c>
    </row>
    <row r="434" spans="2:7" ht="107.25" customHeight="1">
      <c r="B434" s="681">
        <v>20</v>
      </c>
      <c r="C434" s="707" t="s">
        <v>1608</v>
      </c>
      <c r="D434" s="696" t="s">
        <v>24</v>
      </c>
      <c r="E434" s="697">
        <v>2</v>
      </c>
      <c r="F434" s="13"/>
      <c r="G434" s="790">
        <f t="shared" si="33"/>
        <v>0</v>
      </c>
    </row>
    <row r="435" spans="2:7" ht="103.5" customHeight="1">
      <c r="B435" s="681">
        <v>21</v>
      </c>
      <c r="C435" s="707" t="s">
        <v>1609</v>
      </c>
      <c r="D435" s="696" t="s">
        <v>24</v>
      </c>
      <c r="E435" s="697">
        <v>5</v>
      </c>
      <c r="F435" s="13"/>
      <c r="G435" s="790">
        <f t="shared" si="33"/>
        <v>0</v>
      </c>
    </row>
    <row r="436" spans="2:7" ht="108.75" customHeight="1">
      <c r="B436" s="681">
        <v>22</v>
      </c>
      <c r="C436" s="707" t="s">
        <v>1610</v>
      </c>
      <c r="D436" s="696" t="s">
        <v>24</v>
      </c>
      <c r="E436" s="697">
        <v>10</v>
      </c>
      <c r="F436" s="13"/>
      <c r="G436" s="790">
        <f t="shared" si="33"/>
        <v>0</v>
      </c>
    </row>
    <row r="437" spans="2:7" ht="102" customHeight="1">
      <c r="B437" s="681">
        <v>23</v>
      </c>
      <c r="C437" s="707" t="s">
        <v>1611</v>
      </c>
      <c r="D437" s="696" t="s">
        <v>24</v>
      </c>
      <c r="E437" s="697">
        <v>9</v>
      </c>
      <c r="F437" s="13"/>
      <c r="G437" s="790">
        <f t="shared" si="33"/>
        <v>0</v>
      </c>
    </row>
    <row r="438" spans="2:7" ht="62.25" customHeight="1">
      <c r="B438" s="681">
        <v>24</v>
      </c>
      <c r="C438" s="707" t="s">
        <v>1612</v>
      </c>
      <c r="D438" s="696" t="s">
        <v>24</v>
      </c>
      <c r="E438" s="697">
        <v>1</v>
      </c>
      <c r="F438" s="13"/>
      <c r="G438" s="790">
        <f t="shared" si="33"/>
        <v>0</v>
      </c>
    </row>
    <row r="439" spans="2:7" ht="108.75" customHeight="1">
      <c r="B439" s="681">
        <v>25</v>
      </c>
      <c r="C439" s="707" t="s">
        <v>1613</v>
      </c>
      <c r="D439" s="696" t="s">
        <v>24</v>
      </c>
      <c r="E439" s="697">
        <v>12</v>
      </c>
      <c r="F439" s="13"/>
      <c r="G439" s="790">
        <f t="shared" si="33"/>
        <v>0</v>
      </c>
    </row>
    <row r="440" spans="2:7" ht="36.75" customHeight="1">
      <c r="B440" s="754" t="s">
        <v>1614</v>
      </c>
      <c r="C440" s="707" t="s">
        <v>1615</v>
      </c>
      <c r="D440" s="696" t="s">
        <v>24</v>
      </c>
      <c r="E440" s="697">
        <v>12</v>
      </c>
      <c r="F440" s="13"/>
      <c r="G440" s="790">
        <f t="shared" si="33"/>
        <v>0</v>
      </c>
    </row>
    <row r="441" spans="2:7" ht="60.75" customHeight="1">
      <c r="B441" s="681">
        <v>26</v>
      </c>
      <c r="C441" s="707" t="s">
        <v>1616</v>
      </c>
      <c r="D441" s="696" t="s">
        <v>24</v>
      </c>
      <c r="E441" s="697">
        <v>13</v>
      </c>
      <c r="F441" s="13"/>
      <c r="G441" s="790">
        <f t="shared" si="33"/>
        <v>0</v>
      </c>
    </row>
    <row r="442" spans="2:7" ht="57" customHeight="1">
      <c r="B442" s="681">
        <v>27</v>
      </c>
      <c r="C442" s="707" t="s">
        <v>1617</v>
      </c>
      <c r="D442" s="696" t="s">
        <v>24</v>
      </c>
      <c r="E442" s="697">
        <v>19</v>
      </c>
      <c r="F442" s="13"/>
      <c r="G442" s="790">
        <f t="shared" si="33"/>
        <v>0</v>
      </c>
    </row>
    <row r="443" spans="2:7" ht="46.5" customHeight="1">
      <c r="B443" s="681">
        <v>28</v>
      </c>
      <c r="C443" s="707" t="s">
        <v>1618</v>
      </c>
      <c r="D443" s="696" t="s">
        <v>24</v>
      </c>
      <c r="E443" s="697">
        <v>28</v>
      </c>
      <c r="F443" s="13"/>
      <c r="G443" s="790">
        <f t="shared" si="33"/>
        <v>0</v>
      </c>
    </row>
    <row r="444" spans="2:7" ht="46.5" customHeight="1">
      <c r="B444" s="681">
        <v>29</v>
      </c>
      <c r="C444" s="707" t="s">
        <v>1619</v>
      </c>
      <c r="D444" s="696" t="s">
        <v>24</v>
      </c>
      <c r="E444" s="697">
        <v>5</v>
      </c>
      <c r="F444" s="13"/>
      <c r="G444" s="790">
        <f t="shared" si="33"/>
        <v>0</v>
      </c>
    </row>
    <row r="445" spans="2:7" ht="46.5" customHeight="1">
      <c r="B445" s="681">
        <v>30</v>
      </c>
      <c r="C445" s="707" t="s">
        <v>1620</v>
      </c>
      <c r="D445" s="696" t="s">
        <v>24</v>
      </c>
      <c r="E445" s="697">
        <v>13</v>
      </c>
      <c r="F445" s="13"/>
      <c r="G445" s="790">
        <f t="shared" si="33"/>
        <v>0</v>
      </c>
    </row>
    <row r="446" spans="2:7" ht="21.75" customHeight="1">
      <c r="B446" s="705" t="s">
        <v>1621</v>
      </c>
      <c r="C446" s="753" t="s">
        <v>1622</v>
      </c>
      <c r="D446" s="696" t="s">
        <v>24</v>
      </c>
      <c r="E446" s="697">
        <v>13</v>
      </c>
      <c r="F446" s="13"/>
      <c r="G446" s="790">
        <f t="shared" si="33"/>
        <v>0</v>
      </c>
    </row>
    <row r="447" spans="2:7" ht="23.25" customHeight="1">
      <c r="B447" s="705" t="s">
        <v>1623</v>
      </c>
      <c r="C447" s="753" t="s">
        <v>1622</v>
      </c>
      <c r="D447" s="696" t="s">
        <v>24</v>
      </c>
      <c r="E447" s="697">
        <v>13</v>
      </c>
      <c r="F447" s="13"/>
      <c r="G447" s="790">
        <f t="shared" si="33"/>
        <v>0</v>
      </c>
    </row>
    <row r="448" spans="2:7" ht="45.75" customHeight="1">
      <c r="B448" s="705">
        <v>31</v>
      </c>
      <c r="C448" s="753" t="s">
        <v>1624</v>
      </c>
      <c r="D448" s="696" t="s">
        <v>24</v>
      </c>
      <c r="E448" s="697">
        <v>3</v>
      </c>
      <c r="F448" s="13"/>
      <c r="G448" s="790">
        <f t="shared" si="33"/>
        <v>0</v>
      </c>
    </row>
    <row r="449" spans="2:7" ht="19.5" customHeight="1">
      <c r="B449" s="705" t="s">
        <v>1625</v>
      </c>
      <c r="C449" s="753" t="s">
        <v>1626</v>
      </c>
      <c r="D449" s="696" t="s">
        <v>24</v>
      </c>
      <c r="E449" s="697">
        <v>3</v>
      </c>
      <c r="F449" s="13"/>
      <c r="G449" s="790">
        <f t="shared" si="33"/>
        <v>0</v>
      </c>
    </row>
    <row r="450" spans="2:7" ht="20.25" customHeight="1">
      <c r="B450" s="705" t="s">
        <v>1627</v>
      </c>
      <c r="C450" s="753" t="s">
        <v>1628</v>
      </c>
      <c r="D450" s="696" t="s">
        <v>24</v>
      </c>
      <c r="E450" s="697">
        <v>3</v>
      </c>
      <c r="F450" s="13"/>
      <c r="G450" s="790">
        <f t="shared" si="33"/>
        <v>0</v>
      </c>
    </row>
    <row r="451" spans="2:7" ht="46.5" customHeight="1">
      <c r="B451" s="705">
        <v>32</v>
      </c>
      <c r="C451" s="753" t="s">
        <v>1629</v>
      </c>
      <c r="D451" s="696" t="s">
        <v>24</v>
      </c>
      <c r="E451" s="697">
        <v>2</v>
      </c>
      <c r="F451" s="13"/>
      <c r="G451" s="790">
        <f t="shared" si="33"/>
        <v>0</v>
      </c>
    </row>
    <row r="452" spans="2:7" ht="18.75" customHeight="1">
      <c r="B452" s="705" t="s">
        <v>1630</v>
      </c>
      <c r="C452" s="755" t="s">
        <v>1631</v>
      </c>
      <c r="D452" s="713" t="s">
        <v>24</v>
      </c>
      <c r="E452" s="722">
        <v>2</v>
      </c>
      <c r="F452" s="14"/>
      <c r="G452" s="790">
        <f t="shared" si="33"/>
        <v>0</v>
      </c>
    </row>
    <row r="453" spans="2:7">
      <c r="B453" s="756"/>
      <c r="C453" s="736" t="s">
        <v>1444</v>
      </c>
      <c r="D453" s="757"/>
      <c r="E453" s="809"/>
      <c r="F453" s="810"/>
      <c r="G453" s="795">
        <f>SUM(G408:G452)</f>
        <v>0</v>
      </c>
    </row>
    <row r="454" spans="2:7">
      <c r="C454" s="737"/>
      <c r="F454" s="785"/>
    </row>
    <row r="455" spans="2:7">
      <c r="C455" s="737"/>
      <c r="F455" s="785"/>
    </row>
    <row r="456" spans="2:7">
      <c r="B456" s="758" t="s">
        <v>1407</v>
      </c>
      <c r="C456" s="759" t="s">
        <v>1408</v>
      </c>
      <c r="D456" s="760" t="s">
        <v>1409</v>
      </c>
      <c r="E456" s="811" t="s">
        <v>1410</v>
      </c>
      <c r="F456" s="811" t="s">
        <v>1411</v>
      </c>
      <c r="G456" s="812" t="s">
        <v>1412</v>
      </c>
    </row>
    <row r="457" spans="2:7">
      <c r="B457" s="758" t="s">
        <v>1413</v>
      </c>
      <c r="C457" s="759" t="s">
        <v>1632</v>
      </c>
      <c r="D457" s="760" t="s">
        <v>1414</v>
      </c>
      <c r="E457" s="811"/>
      <c r="F457" s="811"/>
      <c r="G457" s="812" t="s">
        <v>1446</v>
      </c>
    </row>
    <row r="458" spans="2:7" ht="33.75" customHeight="1">
      <c r="B458" s="705">
        <v>3</v>
      </c>
      <c r="C458" s="753" t="s">
        <v>1999</v>
      </c>
      <c r="D458" s="696" t="s">
        <v>1436</v>
      </c>
      <c r="E458" s="697">
        <v>1</v>
      </c>
      <c r="F458" s="813"/>
      <c r="G458" s="790">
        <f t="shared" ref="G458:G465" si="34">E458*F458</f>
        <v>0</v>
      </c>
    </row>
    <row r="459" spans="2:7" ht="34.5" customHeight="1">
      <c r="B459" s="705"/>
      <c r="C459" s="753" t="s">
        <v>1633</v>
      </c>
      <c r="D459" s="696" t="s">
        <v>1436</v>
      </c>
      <c r="E459" s="697">
        <v>3</v>
      </c>
      <c r="F459" s="813"/>
      <c r="G459" s="790">
        <f t="shared" si="34"/>
        <v>0</v>
      </c>
    </row>
    <row r="460" spans="2:7" ht="17.25" customHeight="1">
      <c r="B460" s="705">
        <v>4</v>
      </c>
      <c r="C460" s="753" t="s">
        <v>1634</v>
      </c>
      <c r="D460" s="696" t="s">
        <v>1296</v>
      </c>
      <c r="E460" s="697">
        <v>120</v>
      </c>
      <c r="F460" s="813"/>
      <c r="G460" s="790">
        <f t="shared" si="34"/>
        <v>0</v>
      </c>
    </row>
    <row r="461" spans="2:7" ht="15.75" customHeight="1">
      <c r="B461" s="705">
        <v>5</v>
      </c>
      <c r="C461" s="753" t="s">
        <v>1635</v>
      </c>
      <c r="D461" s="696" t="s">
        <v>1296</v>
      </c>
      <c r="E461" s="697">
        <v>70</v>
      </c>
      <c r="F461" s="813"/>
      <c r="G461" s="790">
        <f t="shared" si="34"/>
        <v>0</v>
      </c>
    </row>
    <row r="462" spans="2:7" ht="15" customHeight="1">
      <c r="B462" s="705">
        <v>6</v>
      </c>
      <c r="C462" s="753" t="s">
        <v>1636</v>
      </c>
      <c r="D462" s="696" t="s">
        <v>1296</v>
      </c>
      <c r="E462" s="697">
        <v>45</v>
      </c>
      <c r="F462" s="813"/>
      <c r="G462" s="790">
        <f t="shared" si="34"/>
        <v>0</v>
      </c>
    </row>
    <row r="463" spans="2:7" ht="15.75" customHeight="1">
      <c r="B463" s="705">
        <v>7</v>
      </c>
      <c r="C463" s="753" t="s">
        <v>1637</v>
      </c>
      <c r="D463" s="696" t="s">
        <v>1296</v>
      </c>
      <c r="E463" s="697">
        <v>120</v>
      </c>
      <c r="F463" s="813"/>
      <c r="G463" s="790">
        <f t="shared" si="34"/>
        <v>0</v>
      </c>
    </row>
    <row r="464" spans="2:7">
      <c r="B464" s="705">
        <v>8</v>
      </c>
      <c r="C464" s="753" t="s">
        <v>1638</v>
      </c>
      <c r="D464" s="696" t="s">
        <v>1296</v>
      </c>
      <c r="E464" s="697">
        <v>150</v>
      </c>
      <c r="F464" s="813"/>
      <c r="G464" s="790">
        <f t="shared" si="34"/>
        <v>0</v>
      </c>
    </row>
    <row r="465" spans="2:7" ht="22.5" customHeight="1">
      <c r="B465" s="705">
        <v>9</v>
      </c>
      <c r="C465" s="753" t="s">
        <v>1639</v>
      </c>
      <c r="D465" s="696" t="s">
        <v>1436</v>
      </c>
      <c r="E465" s="697">
        <v>1</v>
      </c>
      <c r="F465" s="813"/>
      <c r="G465" s="790">
        <f t="shared" si="34"/>
        <v>0</v>
      </c>
    </row>
    <row r="466" spans="2:7">
      <c r="B466" s="756"/>
      <c r="C466" s="736" t="s">
        <v>1444</v>
      </c>
      <c r="D466" s="757"/>
      <c r="E466" s="809"/>
      <c r="F466" s="810"/>
      <c r="G466" s="795">
        <f>SUM(G458:G465)</f>
        <v>0</v>
      </c>
    </row>
    <row r="467" spans="2:7" ht="14.65" thickBot="1">
      <c r="F467" s="785"/>
    </row>
    <row r="468" spans="2:7">
      <c r="B468" s="761"/>
      <c r="C468" s="762" t="s">
        <v>1640</v>
      </c>
      <c r="D468" s="763"/>
      <c r="E468" s="814"/>
      <c r="F468" s="785"/>
    </row>
    <row r="469" spans="2:7" ht="14.65" thickBot="1">
      <c r="B469" s="764"/>
      <c r="E469" s="815" t="s">
        <v>175</v>
      </c>
      <c r="F469" s="785"/>
    </row>
    <row r="470" spans="2:7">
      <c r="B470" s="765">
        <v>1</v>
      </c>
      <c r="C470" s="766" t="s">
        <v>1641</v>
      </c>
      <c r="D470" s="767"/>
      <c r="E470" s="816">
        <f>G42</f>
        <v>0</v>
      </c>
      <c r="F470" s="785"/>
    </row>
    <row r="471" spans="2:7">
      <c r="B471" s="768">
        <v>2</v>
      </c>
      <c r="C471" s="769" t="s">
        <v>1642</v>
      </c>
      <c r="D471" s="770"/>
      <c r="E471" s="817">
        <f>G81+G120</f>
        <v>0</v>
      </c>
      <c r="F471" s="785"/>
    </row>
    <row r="472" spans="2:7">
      <c r="B472" s="768">
        <v>3</v>
      </c>
      <c r="C472" s="769" t="s">
        <v>1643</v>
      </c>
      <c r="D472" s="770"/>
      <c r="E472" s="817">
        <f>G159+G198</f>
        <v>0</v>
      </c>
      <c r="F472" s="785"/>
    </row>
    <row r="473" spans="2:7">
      <c r="B473" s="768">
        <v>4</v>
      </c>
      <c r="C473" s="769" t="s">
        <v>1473</v>
      </c>
      <c r="D473" s="770"/>
      <c r="E473" s="817">
        <f>G237</f>
        <v>0</v>
      </c>
      <c r="F473" s="785"/>
    </row>
    <row r="474" spans="2:7">
      <c r="B474" s="768">
        <v>5</v>
      </c>
      <c r="C474" s="769" t="s">
        <v>1476</v>
      </c>
      <c r="D474" s="770"/>
      <c r="E474" s="817">
        <f>G276</f>
        <v>0</v>
      </c>
      <c r="F474" s="785"/>
    </row>
    <row r="475" spans="2:7">
      <c r="B475" s="768">
        <v>6</v>
      </c>
      <c r="C475" s="769" t="s">
        <v>1919</v>
      </c>
      <c r="D475" s="770"/>
      <c r="E475" s="817">
        <f>G315</f>
        <v>0</v>
      </c>
      <c r="F475" s="785"/>
    </row>
    <row r="476" spans="2:7">
      <c r="B476" s="768">
        <v>7</v>
      </c>
      <c r="C476" s="769" t="s">
        <v>1644</v>
      </c>
      <c r="D476" s="770"/>
      <c r="E476" s="817">
        <f>G356</f>
        <v>0</v>
      </c>
      <c r="F476" s="785"/>
    </row>
    <row r="477" spans="2:7">
      <c r="B477" s="768">
        <v>8</v>
      </c>
      <c r="C477" s="769" t="s">
        <v>1645</v>
      </c>
      <c r="D477" s="770"/>
      <c r="E477" s="817">
        <f>G379</f>
        <v>0</v>
      </c>
      <c r="F477" s="785"/>
    </row>
    <row r="478" spans="2:7">
      <c r="B478" s="768">
        <v>9</v>
      </c>
      <c r="C478" s="769" t="s">
        <v>1646</v>
      </c>
      <c r="D478" s="770"/>
      <c r="E478" s="817">
        <f>G401</f>
        <v>0</v>
      </c>
      <c r="F478" s="785"/>
    </row>
    <row r="479" spans="2:7">
      <c r="B479" s="771">
        <v>10</v>
      </c>
      <c r="C479" s="772" t="s">
        <v>1577</v>
      </c>
      <c r="D479" s="773"/>
      <c r="E479" s="818">
        <f>G453</f>
        <v>0</v>
      </c>
      <c r="F479" s="785"/>
    </row>
    <row r="480" spans="2:7" ht="14.65" thickBot="1">
      <c r="B480" s="774">
        <v>11</v>
      </c>
      <c r="C480" s="775" t="s">
        <v>1632</v>
      </c>
      <c r="D480" s="776"/>
      <c r="E480" s="819">
        <f>G466</f>
        <v>0</v>
      </c>
      <c r="F480" s="785"/>
    </row>
    <row r="481" spans="2:6">
      <c r="B481" s="777"/>
      <c r="C481" s="762"/>
      <c r="D481" s="778"/>
      <c r="E481" s="820"/>
      <c r="F481" s="785"/>
    </row>
    <row r="482" spans="2:6">
      <c r="B482" s="779"/>
      <c r="C482" s="780" t="s">
        <v>1916</v>
      </c>
      <c r="D482" s="781"/>
      <c r="E482" s="821">
        <f>SUM(E470:E480)</f>
        <v>0</v>
      </c>
      <c r="F482" s="785"/>
    </row>
    <row r="483" spans="2:6">
      <c r="B483" s="779"/>
      <c r="C483" s="780" t="s">
        <v>1842</v>
      </c>
      <c r="D483" s="781"/>
      <c r="E483" s="821">
        <f>E482*0.25</f>
        <v>0</v>
      </c>
      <c r="F483" s="785"/>
    </row>
    <row r="484" spans="2:6" ht="14.65" thickBot="1">
      <c r="B484" s="782"/>
      <c r="C484" s="783" t="s">
        <v>1917</v>
      </c>
      <c r="D484" s="784"/>
      <c r="E484" s="822">
        <f>E482+E483</f>
        <v>0</v>
      </c>
      <c r="F484" s="785"/>
    </row>
  </sheetData>
  <sheetProtection algorithmName="SHA-512" hashValue="YeL0/MS0EPdV119OoPBZrzflNx6UPRJ2bCDJyTRlGWh09Sfy6y6V5s+kUNaUqcAvV9KPaZS8ca6+zN0tPSLMcg==" saltValue="acd7jPTs9ZXWIgZi+BH0FA==" spinCount="100000" sheet="1" objects="1" scenarios="1"/>
  <pageMargins left="0.7" right="0.7" top="0.75" bottom="0.75" header="0.3" footer="0.3"/>
  <pageSetup paperSize="9" scale="64" orientation="portrait" horizont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3DC7E-12FD-42E3-B89A-17A284A3D7A7}">
  <sheetPr>
    <tabColor rgb="FF00B0F0"/>
    <pageSetUpPr fitToPage="1"/>
  </sheetPr>
  <dimension ref="A1:AB179"/>
  <sheetViews>
    <sheetView topLeftCell="A138" zoomScaleNormal="100" zoomScaleSheetLayoutView="85" zoomScalePageLayoutView="70" workbookViewId="0">
      <selection activeCell="O105" sqref="O105:Q105"/>
    </sheetView>
  </sheetViews>
  <sheetFormatPr defaultColWidth="9.1328125" defaultRowHeight="10.5" customHeight="1"/>
  <cols>
    <col min="1" max="20" width="5.73046875" style="825" customWidth="1"/>
    <col min="21" max="21" width="5" style="825" customWidth="1"/>
    <col min="22" max="16384" width="9.1328125" style="825"/>
  </cols>
  <sheetData>
    <row r="1" spans="1:21" ht="7.5" customHeight="1">
      <c r="A1" s="824"/>
      <c r="B1" s="824"/>
      <c r="C1" s="1025" t="s">
        <v>833</v>
      </c>
      <c r="D1" s="1025"/>
      <c r="E1" s="1025"/>
      <c r="F1" s="1025"/>
      <c r="G1" s="1025"/>
      <c r="H1" s="1025"/>
      <c r="I1" s="1025"/>
      <c r="J1" s="1025"/>
      <c r="K1" s="1025"/>
      <c r="L1" s="1025"/>
      <c r="M1" s="1025"/>
      <c r="N1" s="1025"/>
      <c r="O1" s="1025"/>
      <c r="P1" s="1025"/>
      <c r="Q1" s="1025"/>
      <c r="R1" s="1026" t="s">
        <v>1169</v>
      </c>
      <c r="S1" s="1027"/>
      <c r="T1" s="1028"/>
    </row>
    <row r="2" spans="1:21" ht="9.9499999999999993" customHeight="1">
      <c r="A2" s="824"/>
      <c r="B2" s="824"/>
      <c r="C2" s="1025"/>
      <c r="D2" s="1025"/>
      <c r="E2" s="1025"/>
      <c r="F2" s="1025"/>
      <c r="G2" s="1025"/>
      <c r="H2" s="1025"/>
      <c r="I2" s="1025"/>
      <c r="J2" s="1025"/>
      <c r="K2" s="1025"/>
      <c r="L2" s="1025"/>
      <c r="M2" s="1025"/>
      <c r="N2" s="1025"/>
      <c r="O2" s="1025"/>
      <c r="P2" s="1025"/>
      <c r="Q2" s="1025"/>
      <c r="R2" s="1029"/>
      <c r="S2" s="1030"/>
      <c r="T2" s="1031"/>
    </row>
    <row r="3" spans="1:21" ht="7.5" customHeight="1">
      <c r="A3" s="824"/>
      <c r="B3" s="824"/>
      <c r="C3" s="1032" t="s">
        <v>1</v>
      </c>
      <c r="D3" s="1032"/>
      <c r="E3" s="1032"/>
      <c r="F3" s="1032"/>
      <c r="G3" s="1032"/>
      <c r="H3" s="1032"/>
      <c r="I3" s="1032"/>
      <c r="J3" s="1032"/>
      <c r="K3" s="1032"/>
      <c r="L3" s="1032"/>
      <c r="M3" s="1032"/>
      <c r="N3" s="1032"/>
      <c r="O3" s="1032"/>
      <c r="P3" s="1032"/>
      <c r="Q3" s="1032"/>
      <c r="R3" s="1029"/>
      <c r="S3" s="1030"/>
      <c r="T3" s="1031"/>
    </row>
    <row r="4" spans="1:21" ht="9.9499999999999993" customHeight="1">
      <c r="A4" s="824"/>
      <c r="B4" s="824"/>
      <c r="C4" s="1032"/>
      <c r="D4" s="1032"/>
      <c r="E4" s="1032"/>
      <c r="F4" s="1032"/>
      <c r="G4" s="1032"/>
      <c r="H4" s="1032"/>
      <c r="I4" s="1032"/>
      <c r="J4" s="1032"/>
      <c r="K4" s="1032"/>
      <c r="L4" s="1032"/>
      <c r="M4" s="1032"/>
      <c r="N4" s="1032"/>
      <c r="O4" s="1032"/>
      <c r="P4" s="1032"/>
      <c r="Q4" s="1032"/>
      <c r="R4" s="1033"/>
      <c r="S4" s="1030"/>
      <c r="T4" s="1031"/>
    </row>
    <row r="5" spans="1:21" ht="7.5" customHeight="1">
      <c r="A5" s="826"/>
      <c r="B5" s="826"/>
      <c r="C5" s="1037"/>
      <c r="D5" s="1037"/>
      <c r="E5" s="1037"/>
      <c r="F5" s="1037"/>
      <c r="G5" s="1037"/>
      <c r="H5" s="1037"/>
      <c r="I5" s="1037"/>
      <c r="J5" s="1037"/>
      <c r="K5" s="1037"/>
      <c r="L5" s="1037"/>
      <c r="M5" s="1037"/>
      <c r="N5" s="1037"/>
      <c r="O5" s="1037"/>
      <c r="P5" s="1037"/>
      <c r="Q5" s="1037"/>
      <c r="R5" s="1034"/>
      <c r="S5" s="1035"/>
      <c r="T5" s="1036"/>
    </row>
    <row r="6" spans="1:21" ht="9.9499999999999993" customHeight="1">
      <c r="A6" s="827"/>
      <c r="B6" s="827"/>
      <c r="C6" s="828"/>
      <c r="D6" s="828"/>
      <c r="E6" s="828"/>
      <c r="F6" s="828"/>
      <c r="G6" s="829"/>
      <c r="H6" s="830"/>
      <c r="I6" s="830"/>
      <c r="J6" s="830"/>
      <c r="K6" s="830"/>
      <c r="L6" s="830"/>
      <c r="M6" s="830"/>
      <c r="N6" s="830"/>
      <c r="O6" s="830"/>
      <c r="P6" s="830"/>
      <c r="Q6" s="830"/>
      <c r="R6" s="831"/>
      <c r="S6" s="830"/>
      <c r="T6" s="832"/>
    </row>
    <row r="7" spans="1:21" ht="10.5" customHeight="1" thickBot="1"/>
    <row r="8" spans="1:21" ht="12" customHeight="1" thickTop="1">
      <c r="A8" s="993" t="s">
        <v>1170</v>
      </c>
      <c r="B8" s="995" t="s">
        <v>1171</v>
      </c>
      <c r="C8" s="996"/>
      <c r="D8" s="996"/>
      <c r="E8" s="996"/>
      <c r="F8" s="996"/>
      <c r="G8" s="996"/>
      <c r="H8" s="996"/>
      <c r="I8" s="996"/>
      <c r="J8" s="997"/>
      <c r="K8" s="1001" t="s">
        <v>1172</v>
      </c>
      <c r="L8" s="1002"/>
      <c r="M8" s="1005" t="s">
        <v>1173</v>
      </c>
      <c r="N8" s="1006"/>
      <c r="O8" s="1009" t="s">
        <v>175</v>
      </c>
      <c r="P8" s="1010"/>
      <c r="Q8" s="1010"/>
      <c r="R8" s="1010"/>
      <c r="S8" s="1010"/>
      <c r="T8" s="1011"/>
    </row>
    <row r="9" spans="1:21" ht="12" customHeight="1" thickBot="1">
      <c r="A9" s="994"/>
      <c r="B9" s="998"/>
      <c r="C9" s="999"/>
      <c r="D9" s="999"/>
      <c r="E9" s="999"/>
      <c r="F9" s="999"/>
      <c r="G9" s="999"/>
      <c r="H9" s="999"/>
      <c r="I9" s="999"/>
      <c r="J9" s="1000"/>
      <c r="K9" s="1003"/>
      <c r="L9" s="1004"/>
      <c r="M9" s="1007"/>
      <c r="N9" s="1008"/>
      <c r="O9" s="1012" t="s">
        <v>1560</v>
      </c>
      <c r="P9" s="1013"/>
      <c r="Q9" s="1014"/>
      <c r="R9" s="1012" t="s">
        <v>1174</v>
      </c>
      <c r="S9" s="1013"/>
      <c r="T9" s="1015"/>
    </row>
    <row r="10" spans="1:21" ht="15" customHeight="1" thickTop="1">
      <c r="A10" s="833"/>
      <c r="B10" s="834"/>
      <c r="J10" s="835"/>
      <c r="K10" s="836"/>
      <c r="L10" s="835"/>
      <c r="M10" s="836"/>
      <c r="N10" s="835"/>
      <c r="O10" s="836"/>
      <c r="Q10" s="837"/>
      <c r="R10" s="838"/>
      <c r="S10" s="839"/>
      <c r="T10" s="837"/>
    </row>
    <row r="11" spans="1:21" ht="20.25" customHeight="1">
      <c r="A11" s="840" t="s">
        <v>1175</v>
      </c>
      <c r="B11" s="841" t="s">
        <v>1176</v>
      </c>
      <c r="C11" s="842"/>
      <c r="D11" s="842"/>
      <c r="E11" s="842"/>
      <c r="F11" s="842"/>
      <c r="G11" s="842"/>
      <c r="H11" s="842"/>
      <c r="I11" s="842"/>
      <c r="J11" s="842"/>
      <c r="K11" s="843"/>
      <c r="L11" s="843"/>
      <c r="M11" s="843"/>
      <c r="N11" s="843"/>
      <c r="O11" s="843"/>
      <c r="P11" s="843"/>
      <c r="Q11" s="844"/>
      <c r="R11" s="844"/>
      <c r="S11" s="844"/>
      <c r="T11" s="845"/>
    </row>
    <row r="12" spans="1:21" ht="15" customHeight="1">
      <c r="A12" s="833"/>
      <c r="B12" s="834"/>
      <c r="J12" s="835"/>
      <c r="K12" s="836"/>
      <c r="L12" s="835"/>
      <c r="M12" s="836"/>
      <c r="N12" s="835"/>
      <c r="O12" s="836"/>
      <c r="Q12" s="837"/>
      <c r="R12" s="838"/>
      <c r="S12" s="839"/>
      <c r="T12" s="837"/>
    </row>
    <row r="13" spans="1:21" ht="15" customHeight="1">
      <c r="A13" s="846" t="s">
        <v>1177</v>
      </c>
      <c r="B13" s="847" t="s">
        <v>7</v>
      </c>
      <c r="C13" s="848"/>
      <c r="D13" s="848"/>
      <c r="E13" s="848"/>
      <c r="F13" s="848"/>
      <c r="G13" s="848"/>
      <c r="H13" s="848"/>
      <c r="I13" s="848"/>
      <c r="J13" s="849"/>
      <c r="K13" s="850"/>
      <c r="L13" s="851"/>
      <c r="M13" s="850"/>
      <c r="N13" s="851"/>
      <c r="O13" s="850"/>
      <c r="P13" s="852"/>
      <c r="Q13" s="853"/>
      <c r="R13" s="854"/>
      <c r="S13" s="855"/>
      <c r="T13" s="853"/>
    </row>
    <row r="14" spans="1:21" ht="10.5" customHeight="1">
      <c r="A14" s="833"/>
      <c r="B14" s="836"/>
      <c r="J14" s="835"/>
      <c r="K14" s="856"/>
      <c r="L14" s="857"/>
      <c r="M14" s="856"/>
      <c r="N14" s="857"/>
      <c r="O14" s="856"/>
      <c r="P14" s="858"/>
      <c r="Q14" s="859"/>
      <c r="R14" s="860"/>
      <c r="S14" s="861"/>
      <c r="T14" s="862"/>
      <c r="U14" s="863"/>
    </row>
    <row r="15" spans="1:21" s="865" customFormat="1" ht="73.5" customHeight="1">
      <c r="A15" s="864">
        <v>1</v>
      </c>
      <c r="B15" s="1016" t="s">
        <v>1178</v>
      </c>
      <c r="C15" s="1017"/>
      <c r="D15" s="1017"/>
      <c r="E15" s="1017"/>
      <c r="F15" s="1017"/>
      <c r="G15" s="1017"/>
      <c r="H15" s="1017"/>
      <c r="I15" s="1017"/>
      <c r="J15" s="1018"/>
      <c r="K15" s="1019" t="s">
        <v>1179</v>
      </c>
      <c r="L15" s="1020"/>
      <c r="M15" s="1019">
        <v>1</v>
      </c>
      <c r="N15" s="1020"/>
      <c r="O15" s="1021"/>
      <c r="P15" s="1022"/>
      <c r="Q15" s="1023"/>
      <c r="R15" s="1019">
        <f>M15*O15</f>
        <v>0</v>
      </c>
      <c r="S15" s="1024"/>
      <c r="T15" s="1020"/>
    </row>
    <row r="16" spans="1:21" s="865" customFormat="1" ht="96.75" customHeight="1">
      <c r="A16" s="864">
        <v>2</v>
      </c>
      <c r="B16" s="1016" t="s">
        <v>1180</v>
      </c>
      <c r="C16" s="1017"/>
      <c r="D16" s="1017"/>
      <c r="E16" s="1017"/>
      <c r="F16" s="1017"/>
      <c r="G16" s="1017"/>
      <c r="H16" s="1017"/>
      <c r="I16" s="1017"/>
      <c r="J16" s="1018"/>
      <c r="K16" s="1019"/>
      <c r="L16" s="1020"/>
      <c r="M16" s="1019"/>
      <c r="N16" s="1020"/>
      <c r="O16" s="1019"/>
      <c r="P16" s="1024"/>
      <c r="Q16" s="1020"/>
      <c r="R16" s="1019"/>
      <c r="S16" s="1024"/>
      <c r="T16" s="1020"/>
    </row>
    <row r="17" spans="1:20" s="865" customFormat="1" ht="13.9">
      <c r="A17" s="864"/>
      <c r="B17" s="1016" t="s">
        <v>1867</v>
      </c>
      <c r="C17" s="1017"/>
      <c r="D17" s="1017"/>
      <c r="E17" s="1017"/>
      <c r="F17" s="1017"/>
      <c r="G17" s="1017"/>
      <c r="H17" s="1017"/>
      <c r="I17" s="1017"/>
      <c r="J17" s="1018"/>
      <c r="K17" s="1019" t="s">
        <v>1181</v>
      </c>
      <c r="L17" s="1020"/>
      <c r="M17" s="1019">
        <f>160.5*0.7*0.9+15</f>
        <v>116.11499999999999</v>
      </c>
      <c r="N17" s="1020"/>
      <c r="O17" s="1021"/>
      <c r="P17" s="1022"/>
      <c r="Q17" s="1023"/>
      <c r="R17" s="1019">
        <f t="shared" ref="R17:R25" si="0">M17*O17</f>
        <v>0</v>
      </c>
      <c r="S17" s="1024"/>
      <c r="T17" s="1020"/>
    </row>
    <row r="18" spans="1:20" s="865" customFormat="1" ht="13.9">
      <c r="A18" s="864"/>
      <c r="B18" s="1016" t="s">
        <v>1868</v>
      </c>
      <c r="C18" s="1017"/>
      <c r="D18" s="1017"/>
      <c r="E18" s="1017"/>
      <c r="F18" s="1017"/>
      <c r="G18" s="1017"/>
      <c r="H18" s="1017"/>
      <c r="I18" s="1017"/>
      <c r="J18" s="1018"/>
      <c r="K18" s="1019" t="s">
        <v>1181</v>
      </c>
      <c r="L18" s="1020"/>
      <c r="M18" s="1019">
        <f>160.5*0.7*0.1+1.5</f>
        <v>12.734999999999999</v>
      </c>
      <c r="N18" s="1020"/>
      <c r="O18" s="1021"/>
      <c r="P18" s="1022"/>
      <c r="Q18" s="1023"/>
      <c r="R18" s="1019">
        <f t="shared" si="0"/>
        <v>0</v>
      </c>
      <c r="S18" s="1024"/>
      <c r="T18" s="1020"/>
    </row>
    <row r="19" spans="1:20" s="865" customFormat="1" ht="11.65">
      <c r="A19" s="864"/>
      <c r="B19" s="1016"/>
      <c r="C19" s="1017"/>
      <c r="D19" s="1017"/>
      <c r="E19" s="1017"/>
      <c r="F19" s="1017"/>
      <c r="G19" s="1017"/>
      <c r="H19" s="1017"/>
      <c r="I19" s="1017"/>
      <c r="J19" s="1018"/>
      <c r="K19" s="1019"/>
      <c r="L19" s="1020"/>
      <c r="M19" s="1019"/>
      <c r="N19" s="1020"/>
      <c r="O19" s="1019"/>
      <c r="P19" s="1024"/>
      <c r="Q19" s="1020"/>
      <c r="R19" s="1019"/>
      <c r="S19" s="1024"/>
      <c r="T19" s="1020"/>
    </row>
    <row r="20" spans="1:20" s="865" customFormat="1" ht="29.25" customHeight="1">
      <c r="A20" s="864">
        <v>3</v>
      </c>
      <c r="B20" s="1038" t="s">
        <v>1182</v>
      </c>
      <c r="C20" s="1039"/>
      <c r="D20" s="1039"/>
      <c r="E20" s="1039"/>
      <c r="F20" s="1039"/>
      <c r="G20" s="1039"/>
      <c r="H20" s="1039"/>
      <c r="I20" s="1039"/>
      <c r="J20" s="1040"/>
      <c r="K20" s="1019" t="s">
        <v>1183</v>
      </c>
      <c r="L20" s="1020"/>
      <c r="M20" s="1019">
        <f>160.5*0.7</f>
        <v>112.35</v>
      </c>
      <c r="N20" s="1020"/>
      <c r="O20" s="1021"/>
      <c r="P20" s="1022"/>
      <c r="Q20" s="1023"/>
      <c r="R20" s="1019">
        <f t="shared" si="0"/>
        <v>0</v>
      </c>
      <c r="S20" s="1024"/>
      <c r="T20" s="1020"/>
    </row>
    <row r="21" spans="1:20" s="865" customFormat="1" ht="36.75" customHeight="1">
      <c r="A21" s="864">
        <v>4</v>
      </c>
      <c r="B21" s="1016" t="s">
        <v>1184</v>
      </c>
      <c r="C21" s="1017"/>
      <c r="D21" s="1017"/>
      <c r="E21" s="1017"/>
      <c r="F21" s="1017"/>
      <c r="G21" s="1017"/>
      <c r="H21" s="1017"/>
      <c r="I21" s="1017"/>
      <c r="J21" s="1018"/>
      <c r="K21" s="1019" t="s">
        <v>1181</v>
      </c>
      <c r="L21" s="1020"/>
      <c r="M21" s="1019">
        <f>160.5*0.7*0.1</f>
        <v>11.234999999999999</v>
      </c>
      <c r="N21" s="1020"/>
      <c r="O21" s="1021"/>
      <c r="P21" s="1022"/>
      <c r="Q21" s="1023"/>
      <c r="R21" s="1019">
        <f t="shared" si="0"/>
        <v>0</v>
      </c>
      <c r="S21" s="1024"/>
      <c r="T21" s="1020"/>
    </row>
    <row r="22" spans="1:20" s="865" customFormat="1" ht="50.25" customHeight="1">
      <c r="A22" s="864">
        <v>5</v>
      </c>
      <c r="B22" s="1016" t="s">
        <v>1185</v>
      </c>
      <c r="C22" s="1017"/>
      <c r="D22" s="1017"/>
      <c r="E22" s="1017"/>
      <c r="F22" s="1017"/>
      <c r="G22" s="1017"/>
      <c r="H22" s="1017"/>
      <c r="I22" s="1017"/>
      <c r="J22" s="1018"/>
      <c r="K22" s="1019" t="s">
        <v>1181</v>
      </c>
      <c r="L22" s="1020"/>
      <c r="M22" s="1019">
        <f>160.5*0.7*0.3</f>
        <v>33.704999999999998</v>
      </c>
      <c r="N22" s="1020"/>
      <c r="O22" s="1021"/>
      <c r="P22" s="1022"/>
      <c r="Q22" s="1023"/>
      <c r="R22" s="1019">
        <f t="shared" si="0"/>
        <v>0</v>
      </c>
      <c r="S22" s="1024"/>
      <c r="T22" s="1020"/>
    </row>
    <row r="23" spans="1:20" s="865" customFormat="1" ht="60.75" customHeight="1">
      <c r="A23" s="864">
        <v>6</v>
      </c>
      <c r="B23" s="1016" t="s">
        <v>1186</v>
      </c>
      <c r="C23" s="1017"/>
      <c r="D23" s="1017"/>
      <c r="E23" s="1017"/>
      <c r="F23" s="1017"/>
      <c r="G23" s="1017"/>
      <c r="H23" s="1017"/>
      <c r="I23" s="1017"/>
      <c r="J23" s="1018"/>
      <c r="K23" s="1019" t="s">
        <v>1181</v>
      </c>
      <c r="L23" s="1020"/>
      <c r="M23" s="1019">
        <f>160.5*0.7*0.6</f>
        <v>67.41</v>
      </c>
      <c r="N23" s="1020"/>
      <c r="O23" s="1021"/>
      <c r="P23" s="1022"/>
      <c r="Q23" s="1023"/>
      <c r="R23" s="1019">
        <f t="shared" si="0"/>
        <v>0</v>
      </c>
      <c r="S23" s="1024"/>
      <c r="T23" s="1020"/>
    </row>
    <row r="24" spans="1:20" s="865" customFormat="1" ht="41.25" customHeight="1">
      <c r="A24" s="864">
        <v>7</v>
      </c>
      <c r="B24" s="1016" t="s">
        <v>1187</v>
      </c>
      <c r="C24" s="1017"/>
      <c r="D24" s="1017"/>
      <c r="E24" s="1017"/>
      <c r="F24" s="1017"/>
      <c r="G24" s="1017"/>
      <c r="H24" s="1017"/>
      <c r="I24" s="1017"/>
      <c r="J24" s="1018"/>
      <c r="K24" s="1019" t="s">
        <v>1181</v>
      </c>
      <c r="L24" s="1020"/>
      <c r="M24" s="1019">
        <f>+M17+M18</f>
        <v>128.85</v>
      </c>
      <c r="N24" s="1020"/>
      <c r="O24" s="1021"/>
      <c r="P24" s="1022"/>
      <c r="Q24" s="1023"/>
      <c r="R24" s="1019">
        <f t="shared" si="0"/>
        <v>0</v>
      </c>
      <c r="S24" s="1024"/>
      <c r="T24" s="1020"/>
    </row>
    <row r="25" spans="1:20" s="865" customFormat="1" ht="153" customHeight="1">
      <c r="A25" s="864">
        <v>8</v>
      </c>
      <c r="B25" s="1016" t="s">
        <v>1188</v>
      </c>
      <c r="C25" s="1017"/>
      <c r="D25" s="1017"/>
      <c r="E25" s="1017"/>
      <c r="F25" s="1017"/>
      <c r="G25" s="1017"/>
      <c r="H25" s="1017"/>
      <c r="I25" s="1017"/>
      <c r="J25" s="1018"/>
      <c r="K25" s="1019" t="s">
        <v>1179</v>
      </c>
      <c r="L25" s="1020"/>
      <c r="M25" s="1019">
        <v>1</v>
      </c>
      <c r="N25" s="1020"/>
      <c r="O25" s="1021"/>
      <c r="P25" s="1022"/>
      <c r="Q25" s="1023"/>
      <c r="R25" s="1019">
        <f t="shared" si="0"/>
        <v>0</v>
      </c>
      <c r="S25" s="1024"/>
      <c r="T25" s="1020"/>
    </row>
    <row r="26" spans="1:20" s="867" customFormat="1" ht="11.65">
      <c r="A26" s="866"/>
      <c r="B26" s="1041"/>
      <c r="C26" s="1042"/>
      <c r="D26" s="1042"/>
      <c r="E26" s="1042"/>
      <c r="F26" s="1042"/>
      <c r="G26" s="1042"/>
      <c r="H26" s="1042"/>
      <c r="I26" s="1042"/>
      <c r="J26" s="1043"/>
      <c r="K26" s="1044"/>
      <c r="L26" s="1045"/>
      <c r="M26" s="1044"/>
      <c r="N26" s="1045"/>
      <c r="O26" s="1044"/>
      <c r="P26" s="1046"/>
      <c r="Q26" s="1045"/>
      <c r="R26" s="1044"/>
      <c r="S26" s="1046"/>
      <c r="T26" s="1045"/>
    </row>
    <row r="27" spans="1:20" ht="11.65">
      <c r="A27" s="868"/>
      <c r="B27" s="1047" t="s">
        <v>1189</v>
      </c>
      <c r="C27" s="1048"/>
      <c r="D27" s="1048"/>
      <c r="E27" s="1048"/>
      <c r="F27" s="1048"/>
      <c r="G27" s="1048"/>
      <c r="H27" s="1048"/>
      <c r="I27" s="1048"/>
      <c r="J27" s="1049"/>
      <c r="K27" s="1050" t="str">
        <f>IF(SUM(R15:T25)=0," ",SUM(R15:T25))</f>
        <v xml:space="preserve"> </v>
      </c>
      <c r="L27" s="1051"/>
      <c r="M27" s="1051"/>
      <c r="N27" s="1051"/>
      <c r="O27" s="1051"/>
      <c r="P27" s="1051"/>
      <c r="Q27" s="1051"/>
      <c r="R27" s="1051"/>
      <c r="S27" s="1051"/>
      <c r="T27" s="1052"/>
    </row>
    <row r="28" spans="1:20" ht="10.5" customHeight="1">
      <c r="A28" s="869"/>
      <c r="B28" s="870"/>
      <c r="C28" s="871"/>
      <c r="D28" s="871"/>
      <c r="E28" s="871"/>
      <c r="F28" s="871"/>
      <c r="G28" s="871"/>
      <c r="H28" s="871"/>
      <c r="I28" s="871"/>
      <c r="J28" s="872"/>
      <c r="K28" s="873"/>
      <c r="L28" s="874"/>
      <c r="M28" s="873"/>
      <c r="N28" s="874"/>
      <c r="O28" s="873"/>
      <c r="P28" s="875"/>
      <c r="Q28" s="859"/>
      <c r="R28" s="876"/>
      <c r="S28" s="877"/>
      <c r="T28" s="859"/>
    </row>
    <row r="29" spans="1:20" ht="15" customHeight="1">
      <c r="A29" s="846" t="s">
        <v>1190</v>
      </c>
      <c r="B29" s="847" t="s">
        <v>1191</v>
      </c>
      <c r="C29" s="848"/>
      <c r="D29" s="848"/>
      <c r="E29" s="848"/>
      <c r="F29" s="848"/>
      <c r="G29" s="848"/>
      <c r="H29" s="848"/>
      <c r="I29" s="848"/>
      <c r="J29" s="849"/>
      <c r="K29" s="850"/>
      <c r="L29" s="851"/>
      <c r="M29" s="850"/>
      <c r="N29" s="851"/>
      <c r="O29" s="850"/>
      <c r="P29" s="852"/>
      <c r="Q29" s="853"/>
      <c r="R29" s="854"/>
      <c r="S29" s="855"/>
      <c r="T29" s="853"/>
    </row>
    <row r="30" spans="1:20" ht="10.5" customHeight="1">
      <c r="A30" s="833"/>
      <c r="B30" s="836"/>
      <c r="J30" s="835"/>
      <c r="K30" s="856"/>
      <c r="L30" s="857"/>
      <c r="M30" s="856"/>
      <c r="N30" s="857"/>
      <c r="O30" s="856"/>
      <c r="P30" s="858"/>
      <c r="Q30" s="859"/>
      <c r="R30" s="876"/>
      <c r="S30" s="877"/>
      <c r="T30" s="859"/>
    </row>
    <row r="31" spans="1:20" s="865" customFormat="1" ht="109.5" customHeight="1">
      <c r="A31" s="864">
        <v>1</v>
      </c>
      <c r="B31" s="1038" t="s">
        <v>1192</v>
      </c>
      <c r="C31" s="1039"/>
      <c r="D31" s="1039"/>
      <c r="E31" s="1039"/>
      <c r="F31" s="1039"/>
      <c r="G31" s="1039"/>
      <c r="H31" s="1039"/>
      <c r="I31" s="1039"/>
      <c r="J31" s="1040"/>
      <c r="K31" s="1019"/>
      <c r="L31" s="1020"/>
      <c r="M31" s="1019"/>
      <c r="N31" s="1020"/>
      <c r="O31" s="1019"/>
      <c r="P31" s="1024"/>
      <c r="Q31" s="1020"/>
      <c r="R31" s="1019" t="str">
        <f t="shared" ref="R31:R54" si="1">IF(O31=0," ",O31*M31)</f>
        <v xml:space="preserve"> </v>
      </c>
      <c r="S31" s="1024"/>
      <c r="T31" s="1020"/>
    </row>
    <row r="32" spans="1:20" s="865" customFormat="1" ht="15" customHeight="1">
      <c r="A32" s="864"/>
      <c r="B32" s="1016" t="s">
        <v>1843</v>
      </c>
      <c r="C32" s="1017"/>
      <c r="D32" s="1017"/>
      <c r="E32" s="1017"/>
      <c r="F32" s="1017"/>
      <c r="G32" s="1017"/>
      <c r="H32" s="1017"/>
      <c r="I32" s="1017"/>
      <c r="J32" s="1018"/>
      <c r="K32" s="1019" t="s">
        <v>24</v>
      </c>
      <c r="L32" s="1020"/>
      <c r="M32" s="1019">
        <v>1</v>
      </c>
      <c r="N32" s="1020"/>
      <c r="O32" s="1021"/>
      <c r="P32" s="1022"/>
      <c r="Q32" s="1023"/>
      <c r="R32" s="1019">
        <f t="shared" ref="R32" si="2">M32*O32</f>
        <v>0</v>
      </c>
      <c r="S32" s="1024"/>
      <c r="T32" s="1020"/>
    </row>
    <row r="33" spans="1:20" s="865" customFormat="1" ht="15" customHeight="1">
      <c r="A33" s="864"/>
      <c r="B33" s="1016" t="s">
        <v>1844</v>
      </c>
      <c r="C33" s="1017"/>
      <c r="D33" s="1017"/>
      <c r="E33" s="1017"/>
      <c r="F33" s="1017"/>
      <c r="G33" s="1017"/>
      <c r="H33" s="1017"/>
      <c r="I33" s="1017"/>
      <c r="J33" s="1018"/>
      <c r="K33" s="1019" t="s">
        <v>24</v>
      </c>
      <c r="L33" s="1020"/>
      <c r="M33" s="1019">
        <v>1</v>
      </c>
      <c r="N33" s="1020"/>
      <c r="O33" s="1021"/>
      <c r="P33" s="1022"/>
      <c r="Q33" s="1023"/>
      <c r="R33" s="1019">
        <f t="shared" ref="R33:R47" si="3">M33*O33</f>
        <v>0</v>
      </c>
      <c r="S33" s="1024"/>
      <c r="T33" s="1020"/>
    </row>
    <row r="34" spans="1:20" s="865" customFormat="1" ht="15" customHeight="1">
      <c r="A34" s="864"/>
      <c r="B34" s="1016" t="s">
        <v>1845</v>
      </c>
      <c r="C34" s="1017"/>
      <c r="D34" s="1017"/>
      <c r="E34" s="1017"/>
      <c r="F34" s="1017"/>
      <c r="G34" s="1017"/>
      <c r="H34" s="1017"/>
      <c r="I34" s="1017"/>
      <c r="J34" s="1018"/>
      <c r="K34" s="1019" t="s">
        <v>24</v>
      </c>
      <c r="L34" s="1020"/>
      <c r="M34" s="1019">
        <v>1</v>
      </c>
      <c r="N34" s="1020"/>
      <c r="O34" s="1021"/>
      <c r="P34" s="1022"/>
      <c r="Q34" s="1023"/>
      <c r="R34" s="1019">
        <f t="shared" si="3"/>
        <v>0</v>
      </c>
      <c r="S34" s="1024"/>
      <c r="T34" s="1020"/>
    </row>
    <row r="35" spans="1:20" s="865" customFormat="1" ht="15" customHeight="1">
      <c r="A35" s="864"/>
      <c r="B35" s="1016" t="s">
        <v>1846</v>
      </c>
      <c r="C35" s="1017"/>
      <c r="D35" s="1017"/>
      <c r="E35" s="1017"/>
      <c r="F35" s="1017"/>
      <c r="G35" s="1017"/>
      <c r="H35" s="1017"/>
      <c r="I35" s="1017"/>
      <c r="J35" s="1018"/>
      <c r="K35" s="1019" t="s">
        <v>24</v>
      </c>
      <c r="L35" s="1020"/>
      <c r="M35" s="1019">
        <v>1</v>
      </c>
      <c r="N35" s="1020"/>
      <c r="O35" s="1021"/>
      <c r="P35" s="1022"/>
      <c r="Q35" s="1023"/>
      <c r="R35" s="1019">
        <f t="shared" si="3"/>
        <v>0</v>
      </c>
      <c r="S35" s="1024"/>
      <c r="T35" s="1020"/>
    </row>
    <row r="36" spans="1:20" s="865" customFormat="1" ht="15" customHeight="1">
      <c r="A36" s="864"/>
      <c r="B36" s="1016" t="s">
        <v>1847</v>
      </c>
      <c r="C36" s="1017"/>
      <c r="D36" s="1017"/>
      <c r="E36" s="1017"/>
      <c r="F36" s="1017"/>
      <c r="G36" s="1017"/>
      <c r="H36" s="1017"/>
      <c r="I36" s="1017"/>
      <c r="J36" s="1018"/>
      <c r="K36" s="1019" t="s">
        <v>24</v>
      </c>
      <c r="L36" s="1020"/>
      <c r="M36" s="1019">
        <v>1</v>
      </c>
      <c r="N36" s="1020"/>
      <c r="O36" s="1021"/>
      <c r="P36" s="1022"/>
      <c r="Q36" s="1023"/>
      <c r="R36" s="1019">
        <f t="shared" si="3"/>
        <v>0</v>
      </c>
      <c r="S36" s="1024"/>
      <c r="T36" s="1020"/>
    </row>
    <row r="37" spans="1:20" s="865" customFormat="1" ht="15" customHeight="1">
      <c r="A37" s="864"/>
      <c r="B37" s="1016" t="s">
        <v>1848</v>
      </c>
      <c r="C37" s="1017"/>
      <c r="D37" s="1017"/>
      <c r="E37" s="1017"/>
      <c r="F37" s="1017"/>
      <c r="G37" s="1017"/>
      <c r="H37" s="1017"/>
      <c r="I37" s="1017"/>
      <c r="J37" s="1018"/>
      <c r="K37" s="1019" t="s">
        <v>24</v>
      </c>
      <c r="L37" s="1020"/>
      <c r="M37" s="1019">
        <v>1</v>
      </c>
      <c r="N37" s="1020"/>
      <c r="O37" s="1021"/>
      <c r="P37" s="1022"/>
      <c r="Q37" s="1023"/>
      <c r="R37" s="1019">
        <f t="shared" si="3"/>
        <v>0</v>
      </c>
      <c r="S37" s="1024"/>
      <c r="T37" s="1020"/>
    </row>
    <row r="38" spans="1:20" s="865" customFormat="1" ht="15" customHeight="1">
      <c r="A38" s="864"/>
      <c r="B38" s="1016" t="s">
        <v>1849</v>
      </c>
      <c r="C38" s="1017"/>
      <c r="D38" s="1017"/>
      <c r="E38" s="1017"/>
      <c r="F38" s="1017"/>
      <c r="G38" s="1017"/>
      <c r="H38" s="1017"/>
      <c r="I38" s="1017"/>
      <c r="J38" s="1018"/>
      <c r="K38" s="1019" t="s">
        <v>24</v>
      </c>
      <c r="L38" s="1020"/>
      <c r="M38" s="1019">
        <v>1</v>
      </c>
      <c r="N38" s="1020"/>
      <c r="O38" s="1021"/>
      <c r="P38" s="1022"/>
      <c r="Q38" s="1023"/>
      <c r="R38" s="1019">
        <f t="shared" si="3"/>
        <v>0</v>
      </c>
      <c r="S38" s="1024"/>
      <c r="T38" s="1020"/>
    </row>
    <row r="39" spans="1:20" s="865" customFormat="1" ht="15" customHeight="1">
      <c r="A39" s="864"/>
      <c r="B39" s="1016" t="s">
        <v>1850</v>
      </c>
      <c r="C39" s="1017"/>
      <c r="D39" s="1017"/>
      <c r="E39" s="1017"/>
      <c r="F39" s="1017"/>
      <c r="G39" s="1017"/>
      <c r="H39" s="1017"/>
      <c r="I39" s="1017"/>
      <c r="J39" s="1018"/>
      <c r="K39" s="1019" t="s">
        <v>24</v>
      </c>
      <c r="L39" s="1020"/>
      <c r="M39" s="1019">
        <v>1</v>
      </c>
      <c r="N39" s="1020"/>
      <c r="O39" s="1021"/>
      <c r="P39" s="1022"/>
      <c r="Q39" s="1023"/>
      <c r="R39" s="1019">
        <f t="shared" si="3"/>
        <v>0</v>
      </c>
      <c r="S39" s="1024"/>
      <c r="T39" s="1020"/>
    </row>
    <row r="40" spans="1:20" s="865" customFormat="1" ht="15" customHeight="1">
      <c r="A40" s="864"/>
      <c r="B40" s="1016" t="s">
        <v>1851</v>
      </c>
      <c r="C40" s="1017"/>
      <c r="D40" s="1017"/>
      <c r="E40" s="1017"/>
      <c r="F40" s="1017"/>
      <c r="G40" s="1017"/>
      <c r="H40" s="1017"/>
      <c r="I40" s="1017"/>
      <c r="J40" s="1018"/>
      <c r="K40" s="1019" t="s">
        <v>24</v>
      </c>
      <c r="L40" s="1020"/>
      <c r="M40" s="1019">
        <v>1</v>
      </c>
      <c r="N40" s="1020"/>
      <c r="O40" s="1021"/>
      <c r="P40" s="1022"/>
      <c r="Q40" s="1023"/>
      <c r="R40" s="1019">
        <f t="shared" si="3"/>
        <v>0</v>
      </c>
      <c r="S40" s="1024"/>
      <c r="T40" s="1020"/>
    </row>
    <row r="41" spans="1:20" s="865" customFormat="1" ht="15" customHeight="1">
      <c r="A41" s="864"/>
      <c r="B41" s="1016" t="s">
        <v>1852</v>
      </c>
      <c r="C41" s="1017"/>
      <c r="D41" s="1017"/>
      <c r="E41" s="1017"/>
      <c r="F41" s="1017"/>
      <c r="G41" s="1017"/>
      <c r="H41" s="1017"/>
      <c r="I41" s="1017"/>
      <c r="J41" s="1018"/>
      <c r="K41" s="1019" t="s">
        <v>24</v>
      </c>
      <c r="L41" s="1020"/>
      <c r="M41" s="1019">
        <v>1</v>
      </c>
      <c r="N41" s="1020"/>
      <c r="O41" s="1021"/>
      <c r="P41" s="1022"/>
      <c r="Q41" s="1023"/>
      <c r="R41" s="1019">
        <f t="shared" si="3"/>
        <v>0</v>
      </c>
      <c r="S41" s="1024"/>
      <c r="T41" s="1020"/>
    </row>
    <row r="42" spans="1:20" s="865" customFormat="1" ht="15" customHeight="1">
      <c r="A42" s="864"/>
      <c r="B42" s="1016" t="s">
        <v>1853</v>
      </c>
      <c r="C42" s="1017"/>
      <c r="D42" s="1017"/>
      <c r="E42" s="1017"/>
      <c r="F42" s="1017"/>
      <c r="G42" s="1017"/>
      <c r="H42" s="1017"/>
      <c r="I42" s="1017"/>
      <c r="J42" s="1018"/>
      <c r="K42" s="1019" t="s">
        <v>24</v>
      </c>
      <c r="L42" s="1020"/>
      <c r="M42" s="1019">
        <v>1</v>
      </c>
      <c r="N42" s="1020"/>
      <c r="O42" s="1021"/>
      <c r="P42" s="1022"/>
      <c r="Q42" s="1023"/>
      <c r="R42" s="1019">
        <f t="shared" si="3"/>
        <v>0</v>
      </c>
      <c r="S42" s="1024"/>
      <c r="T42" s="1020"/>
    </row>
    <row r="43" spans="1:20" s="865" customFormat="1" ht="15" customHeight="1">
      <c r="A43" s="864"/>
      <c r="B43" s="1016" t="s">
        <v>1854</v>
      </c>
      <c r="C43" s="1017"/>
      <c r="D43" s="1017"/>
      <c r="E43" s="1017"/>
      <c r="F43" s="1017"/>
      <c r="G43" s="1017"/>
      <c r="H43" s="1017"/>
      <c r="I43" s="1017"/>
      <c r="J43" s="1018"/>
      <c r="K43" s="1019" t="s">
        <v>24</v>
      </c>
      <c r="L43" s="1020"/>
      <c r="M43" s="1019">
        <v>1</v>
      </c>
      <c r="N43" s="1020"/>
      <c r="O43" s="1021"/>
      <c r="P43" s="1022"/>
      <c r="Q43" s="1023"/>
      <c r="R43" s="1019">
        <f t="shared" si="3"/>
        <v>0</v>
      </c>
      <c r="S43" s="1024"/>
      <c r="T43" s="1020"/>
    </row>
    <row r="44" spans="1:20" s="865" customFormat="1" ht="15" customHeight="1">
      <c r="A44" s="864"/>
      <c r="B44" s="1016" t="s">
        <v>1855</v>
      </c>
      <c r="C44" s="1017"/>
      <c r="D44" s="1017"/>
      <c r="E44" s="1017"/>
      <c r="F44" s="1017"/>
      <c r="G44" s="1017"/>
      <c r="H44" s="1017"/>
      <c r="I44" s="1017"/>
      <c r="J44" s="1018"/>
      <c r="K44" s="1019" t="s">
        <v>24</v>
      </c>
      <c r="L44" s="1020"/>
      <c r="M44" s="1019">
        <v>1</v>
      </c>
      <c r="N44" s="1020"/>
      <c r="O44" s="1021"/>
      <c r="P44" s="1022"/>
      <c r="Q44" s="1023"/>
      <c r="R44" s="1019">
        <f t="shared" si="3"/>
        <v>0</v>
      </c>
      <c r="S44" s="1024"/>
      <c r="T44" s="1020"/>
    </row>
    <row r="45" spans="1:20" s="865" customFormat="1" ht="15" customHeight="1">
      <c r="A45" s="864"/>
      <c r="B45" s="1016" t="s">
        <v>1856</v>
      </c>
      <c r="C45" s="1017"/>
      <c r="D45" s="1017"/>
      <c r="E45" s="1017"/>
      <c r="F45" s="1017"/>
      <c r="G45" s="1017"/>
      <c r="H45" s="1017"/>
      <c r="I45" s="1017"/>
      <c r="J45" s="1018"/>
      <c r="K45" s="1019" t="s">
        <v>24</v>
      </c>
      <c r="L45" s="1020"/>
      <c r="M45" s="1019">
        <v>1</v>
      </c>
      <c r="N45" s="1020"/>
      <c r="O45" s="1021"/>
      <c r="P45" s="1022"/>
      <c r="Q45" s="1023"/>
      <c r="R45" s="1019">
        <f t="shared" si="3"/>
        <v>0</v>
      </c>
      <c r="S45" s="1024"/>
      <c r="T45" s="1020"/>
    </row>
    <row r="46" spans="1:20" s="865" customFormat="1" ht="15" customHeight="1">
      <c r="A46" s="864"/>
      <c r="B46" s="1016" t="s">
        <v>1857</v>
      </c>
      <c r="C46" s="1017"/>
      <c r="D46" s="1017"/>
      <c r="E46" s="1017"/>
      <c r="F46" s="1017"/>
      <c r="G46" s="1017"/>
      <c r="H46" s="1017"/>
      <c r="I46" s="1017"/>
      <c r="J46" s="1018"/>
      <c r="K46" s="1019" t="s">
        <v>24</v>
      </c>
      <c r="L46" s="1020"/>
      <c r="M46" s="1019">
        <v>1</v>
      </c>
      <c r="N46" s="1020"/>
      <c r="O46" s="1021"/>
      <c r="P46" s="1022"/>
      <c r="Q46" s="1023"/>
      <c r="R46" s="1019">
        <f t="shared" si="3"/>
        <v>0</v>
      </c>
      <c r="S46" s="1024"/>
      <c r="T46" s="1020"/>
    </row>
    <row r="47" spans="1:20" s="865" customFormat="1" ht="15" customHeight="1">
      <c r="A47" s="864"/>
      <c r="B47" s="1016" t="s">
        <v>1858</v>
      </c>
      <c r="C47" s="1017"/>
      <c r="D47" s="1017"/>
      <c r="E47" s="1017"/>
      <c r="F47" s="1017"/>
      <c r="G47" s="1017"/>
      <c r="H47" s="1017"/>
      <c r="I47" s="1017"/>
      <c r="J47" s="1018"/>
      <c r="K47" s="1019" t="s">
        <v>24</v>
      </c>
      <c r="L47" s="1020"/>
      <c r="M47" s="1019">
        <v>2</v>
      </c>
      <c r="N47" s="1020"/>
      <c r="O47" s="1021"/>
      <c r="P47" s="1022"/>
      <c r="Q47" s="1023"/>
      <c r="R47" s="1019">
        <f t="shared" si="3"/>
        <v>0</v>
      </c>
      <c r="S47" s="1024"/>
      <c r="T47" s="1020"/>
    </row>
    <row r="48" spans="1:20" s="865" customFormat="1" ht="79.5" customHeight="1">
      <c r="A48" s="864">
        <v>2</v>
      </c>
      <c r="B48" s="1041" t="s">
        <v>1193</v>
      </c>
      <c r="C48" s="1042"/>
      <c r="D48" s="1042"/>
      <c r="E48" s="1042"/>
      <c r="F48" s="1042"/>
      <c r="G48" s="1042"/>
      <c r="H48" s="1042"/>
      <c r="I48" s="1042"/>
      <c r="J48" s="1043"/>
      <c r="K48" s="1019"/>
      <c r="L48" s="1020"/>
      <c r="M48" s="1019"/>
      <c r="N48" s="1020"/>
      <c r="O48" s="1019"/>
      <c r="P48" s="1024"/>
      <c r="Q48" s="1020"/>
      <c r="R48" s="1019" t="str">
        <f t="shared" si="1"/>
        <v xml:space="preserve"> </v>
      </c>
      <c r="S48" s="1024"/>
      <c r="T48" s="1020"/>
    </row>
    <row r="49" spans="1:28" s="865" customFormat="1" ht="15" customHeight="1">
      <c r="A49" s="864"/>
      <c r="B49" s="1016" t="s">
        <v>1859</v>
      </c>
      <c r="C49" s="1017"/>
      <c r="D49" s="1017"/>
      <c r="E49" s="1017"/>
      <c r="F49" s="1017"/>
      <c r="G49" s="1017"/>
      <c r="H49" s="1017"/>
      <c r="I49" s="1017"/>
      <c r="J49" s="1018"/>
      <c r="K49" s="1019" t="s">
        <v>1194</v>
      </c>
      <c r="L49" s="1020"/>
      <c r="M49" s="1019">
        <v>117.5</v>
      </c>
      <c r="N49" s="1020"/>
      <c r="O49" s="1021"/>
      <c r="P49" s="1022"/>
      <c r="Q49" s="1023"/>
      <c r="R49" s="1019">
        <f t="shared" ref="R49" si="4">M49*O49</f>
        <v>0</v>
      </c>
      <c r="S49" s="1024"/>
      <c r="T49" s="1020"/>
    </row>
    <row r="50" spans="1:28" s="865" customFormat="1" ht="15" customHeight="1">
      <c r="A50" s="864"/>
      <c r="B50" s="1016" t="s">
        <v>1860</v>
      </c>
      <c r="C50" s="1017"/>
      <c r="D50" s="1017"/>
      <c r="E50" s="1017"/>
      <c r="F50" s="1017"/>
      <c r="G50" s="1017"/>
      <c r="H50" s="1017"/>
      <c r="I50" s="1017"/>
      <c r="J50" s="1018"/>
      <c r="K50" s="1019" t="s">
        <v>1194</v>
      </c>
      <c r="L50" s="1020"/>
      <c r="M50" s="1019">
        <v>46.5</v>
      </c>
      <c r="N50" s="1020"/>
      <c r="O50" s="1021"/>
      <c r="P50" s="1022"/>
      <c r="Q50" s="1023"/>
      <c r="R50" s="1019">
        <f t="shared" ref="R50:R53" si="5">M50*O50</f>
        <v>0</v>
      </c>
      <c r="S50" s="1024"/>
      <c r="T50" s="1020"/>
    </row>
    <row r="51" spans="1:28" s="865" customFormat="1" ht="15" customHeight="1">
      <c r="A51" s="864"/>
      <c r="B51" s="1016" t="s">
        <v>1861</v>
      </c>
      <c r="C51" s="1017"/>
      <c r="D51" s="1017"/>
      <c r="E51" s="1017"/>
      <c r="F51" s="1017"/>
      <c r="G51" s="1017"/>
      <c r="H51" s="1017"/>
      <c r="I51" s="1017"/>
      <c r="J51" s="1018"/>
      <c r="K51" s="1019" t="s">
        <v>1194</v>
      </c>
      <c r="L51" s="1020"/>
      <c r="M51" s="1019">
        <v>33.5</v>
      </c>
      <c r="N51" s="1020"/>
      <c r="O51" s="1021"/>
      <c r="P51" s="1022"/>
      <c r="Q51" s="1023"/>
      <c r="R51" s="1019">
        <f t="shared" si="5"/>
        <v>0</v>
      </c>
      <c r="S51" s="1024"/>
      <c r="T51" s="1020"/>
    </row>
    <row r="52" spans="1:28" s="865" customFormat="1" ht="15" customHeight="1">
      <c r="A52" s="864"/>
      <c r="B52" s="1016" t="s">
        <v>1862</v>
      </c>
      <c r="C52" s="1017"/>
      <c r="D52" s="1017"/>
      <c r="E52" s="1017"/>
      <c r="F52" s="1017"/>
      <c r="G52" s="1017"/>
      <c r="H52" s="1017"/>
      <c r="I52" s="1017"/>
      <c r="J52" s="1018"/>
      <c r="K52" s="1019" t="s">
        <v>1194</v>
      </c>
      <c r="L52" s="1020"/>
      <c r="M52" s="1019">
        <v>59.5</v>
      </c>
      <c r="N52" s="1020"/>
      <c r="O52" s="1021"/>
      <c r="P52" s="1022"/>
      <c r="Q52" s="1023"/>
      <c r="R52" s="1019">
        <f t="shared" si="5"/>
        <v>0</v>
      </c>
      <c r="S52" s="1024"/>
      <c r="T52" s="1020"/>
    </row>
    <row r="53" spans="1:28" s="865" customFormat="1" ht="15" customHeight="1">
      <c r="A53" s="864"/>
      <c r="B53" s="1016" t="s">
        <v>1863</v>
      </c>
      <c r="C53" s="1017"/>
      <c r="D53" s="1017"/>
      <c r="E53" s="1017"/>
      <c r="F53" s="1017"/>
      <c r="G53" s="1017"/>
      <c r="H53" s="1017"/>
      <c r="I53" s="1017"/>
      <c r="J53" s="1018"/>
      <c r="K53" s="1019" t="s">
        <v>1194</v>
      </c>
      <c r="L53" s="1020"/>
      <c r="M53" s="1019">
        <v>5.5</v>
      </c>
      <c r="N53" s="1020"/>
      <c r="O53" s="1021"/>
      <c r="P53" s="1022"/>
      <c r="Q53" s="1023"/>
      <c r="R53" s="1019">
        <f t="shared" si="5"/>
        <v>0</v>
      </c>
      <c r="S53" s="1024"/>
      <c r="T53" s="1020"/>
    </row>
    <row r="54" spans="1:28" s="865" customFormat="1" ht="129" customHeight="1">
      <c r="A54" s="864">
        <v>3</v>
      </c>
      <c r="B54" s="1053" t="s">
        <v>1195</v>
      </c>
      <c r="C54" s="1042"/>
      <c r="D54" s="1042"/>
      <c r="E54" s="1042"/>
      <c r="F54" s="1042"/>
      <c r="G54" s="1042"/>
      <c r="H54" s="1042"/>
      <c r="I54" s="1042"/>
      <c r="J54" s="1043"/>
      <c r="K54" s="1019"/>
      <c r="L54" s="1020"/>
      <c r="M54" s="1019"/>
      <c r="N54" s="1020"/>
      <c r="O54" s="1019"/>
      <c r="P54" s="1024"/>
      <c r="Q54" s="1020"/>
      <c r="R54" s="1019" t="str">
        <f t="shared" si="1"/>
        <v xml:space="preserve"> </v>
      </c>
      <c r="S54" s="1024"/>
      <c r="T54" s="1020"/>
    </row>
    <row r="55" spans="1:28" s="865" customFormat="1" ht="15" customHeight="1">
      <c r="A55" s="864"/>
      <c r="B55" s="1016" t="s">
        <v>1864</v>
      </c>
      <c r="C55" s="1017"/>
      <c r="D55" s="1017"/>
      <c r="E55" s="1017"/>
      <c r="F55" s="1017"/>
      <c r="G55" s="1017"/>
      <c r="H55" s="1017"/>
      <c r="I55" s="1017"/>
      <c r="J55" s="1018"/>
      <c r="K55" s="1019" t="s">
        <v>1194</v>
      </c>
      <c r="L55" s="1020"/>
      <c r="M55" s="1019">
        <v>16.5</v>
      </c>
      <c r="N55" s="1020"/>
      <c r="O55" s="1021"/>
      <c r="P55" s="1022"/>
      <c r="Q55" s="1023"/>
      <c r="R55" s="1019">
        <f t="shared" ref="R55" si="6">M55*O55</f>
        <v>0</v>
      </c>
      <c r="S55" s="1024"/>
      <c r="T55" s="1020"/>
    </row>
    <row r="56" spans="1:28" s="865" customFormat="1" ht="15" customHeight="1">
      <c r="A56" s="864"/>
      <c r="B56" s="1016" t="s">
        <v>1865</v>
      </c>
      <c r="C56" s="1017"/>
      <c r="D56" s="1017"/>
      <c r="E56" s="1017"/>
      <c r="F56" s="1017"/>
      <c r="G56" s="1017"/>
      <c r="H56" s="1017"/>
      <c r="I56" s="1017"/>
      <c r="J56" s="1018"/>
      <c r="K56" s="1019" t="s">
        <v>1194</v>
      </c>
      <c r="L56" s="1020"/>
      <c r="M56" s="1019">
        <v>25.5</v>
      </c>
      <c r="N56" s="1020"/>
      <c r="O56" s="1021"/>
      <c r="P56" s="1022"/>
      <c r="Q56" s="1023"/>
      <c r="R56" s="1019">
        <f t="shared" ref="R56:R60" si="7">M56*O56</f>
        <v>0</v>
      </c>
      <c r="S56" s="1024"/>
      <c r="T56" s="1020"/>
    </row>
    <row r="57" spans="1:28" s="865" customFormat="1" ht="15" customHeight="1">
      <c r="A57" s="864"/>
      <c r="B57" s="1016" t="s">
        <v>1866</v>
      </c>
      <c r="C57" s="1017"/>
      <c r="D57" s="1017"/>
      <c r="E57" s="1017"/>
      <c r="F57" s="1017"/>
      <c r="G57" s="1017"/>
      <c r="H57" s="1017"/>
      <c r="I57" s="1017"/>
      <c r="J57" s="1018"/>
      <c r="K57" s="1019" t="s">
        <v>1194</v>
      </c>
      <c r="L57" s="1020"/>
      <c r="M57" s="1019">
        <f>64.5+96</f>
        <v>160.5</v>
      </c>
      <c r="N57" s="1020"/>
      <c r="O57" s="1021"/>
      <c r="P57" s="1022"/>
      <c r="Q57" s="1023"/>
      <c r="R57" s="1019">
        <f t="shared" si="7"/>
        <v>0</v>
      </c>
      <c r="S57" s="1024"/>
      <c r="T57" s="1020"/>
    </row>
    <row r="58" spans="1:28" s="865" customFormat="1" ht="83.25" customHeight="1">
      <c r="A58" s="864">
        <v>4</v>
      </c>
      <c r="B58" s="1041" t="s">
        <v>1196</v>
      </c>
      <c r="C58" s="1042"/>
      <c r="D58" s="1042"/>
      <c r="E58" s="1042"/>
      <c r="F58" s="1042"/>
      <c r="G58" s="1042"/>
      <c r="H58" s="1042"/>
      <c r="I58" s="1042"/>
      <c r="J58" s="1043"/>
      <c r="K58" s="1019" t="s">
        <v>1194</v>
      </c>
      <c r="L58" s="1020"/>
      <c r="M58" s="1019">
        <v>55.5</v>
      </c>
      <c r="N58" s="1020"/>
      <c r="O58" s="1021"/>
      <c r="P58" s="1022"/>
      <c r="Q58" s="1023"/>
      <c r="R58" s="1019">
        <f t="shared" si="7"/>
        <v>0</v>
      </c>
      <c r="S58" s="1024"/>
      <c r="T58" s="1020"/>
    </row>
    <row r="59" spans="1:28" s="865" customFormat="1" ht="69" customHeight="1">
      <c r="A59" s="864">
        <v>5</v>
      </c>
      <c r="B59" s="1041" t="s">
        <v>1197</v>
      </c>
      <c r="C59" s="1042"/>
      <c r="D59" s="1042"/>
      <c r="E59" s="1042"/>
      <c r="F59" s="1042"/>
      <c r="G59" s="1042"/>
      <c r="H59" s="1042"/>
      <c r="I59" s="1042"/>
      <c r="J59" s="1043"/>
      <c r="K59" s="1019" t="s">
        <v>24</v>
      </c>
      <c r="L59" s="1020"/>
      <c r="M59" s="1019">
        <v>12</v>
      </c>
      <c r="N59" s="1020"/>
      <c r="O59" s="1021"/>
      <c r="P59" s="1022"/>
      <c r="Q59" s="1023"/>
      <c r="R59" s="1019">
        <f t="shared" si="7"/>
        <v>0</v>
      </c>
      <c r="S59" s="1024"/>
      <c r="T59" s="1020"/>
      <c r="V59" s="878"/>
    </row>
    <row r="60" spans="1:28" s="865" customFormat="1" ht="99" customHeight="1">
      <c r="A60" s="864">
        <v>6</v>
      </c>
      <c r="B60" s="1053" t="s">
        <v>1198</v>
      </c>
      <c r="C60" s="1042"/>
      <c r="D60" s="1042"/>
      <c r="E60" s="1042"/>
      <c r="F60" s="1042"/>
      <c r="G60" s="1042"/>
      <c r="H60" s="1042"/>
      <c r="I60" s="1042"/>
      <c r="J60" s="1043"/>
      <c r="K60" s="1019" t="s">
        <v>1179</v>
      </c>
      <c r="L60" s="1020"/>
      <c r="M60" s="1019">
        <v>1</v>
      </c>
      <c r="N60" s="1020"/>
      <c r="O60" s="1021"/>
      <c r="P60" s="1022"/>
      <c r="Q60" s="1023"/>
      <c r="R60" s="1019">
        <f t="shared" si="7"/>
        <v>0</v>
      </c>
      <c r="S60" s="1024"/>
      <c r="T60" s="1020"/>
      <c r="V60" s="878"/>
    </row>
    <row r="61" spans="1:28" s="865" customFormat="1" ht="48.75" customHeight="1">
      <c r="A61" s="864">
        <v>7</v>
      </c>
      <c r="B61" s="1053" t="s">
        <v>1199</v>
      </c>
      <c r="C61" s="1042"/>
      <c r="D61" s="1042"/>
      <c r="E61" s="1042"/>
      <c r="F61" s="1042"/>
      <c r="G61" s="1042"/>
      <c r="H61" s="1042"/>
      <c r="I61" s="1042"/>
      <c r="J61" s="1043"/>
      <c r="K61" s="1019" t="s">
        <v>1179</v>
      </c>
      <c r="L61" s="1020"/>
      <c r="M61" s="1019">
        <v>1</v>
      </c>
      <c r="N61" s="1020"/>
      <c r="O61" s="1021"/>
      <c r="P61" s="1022"/>
      <c r="Q61" s="1023"/>
      <c r="R61" s="1019">
        <f t="shared" ref="R61" si="8">M61*O61</f>
        <v>0</v>
      </c>
      <c r="S61" s="1024"/>
      <c r="T61" s="1020"/>
      <c r="V61" s="878"/>
    </row>
    <row r="62" spans="1:28" s="867" customFormat="1" ht="11.65">
      <c r="A62" s="866"/>
      <c r="B62" s="1041"/>
      <c r="C62" s="1042"/>
      <c r="D62" s="1042"/>
      <c r="E62" s="1042"/>
      <c r="F62" s="1042"/>
      <c r="G62" s="1042"/>
      <c r="H62" s="1042"/>
      <c r="I62" s="1042"/>
      <c r="J62" s="1043"/>
      <c r="K62" s="1044"/>
      <c r="L62" s="1045"/>
      <c r="M62" s="1044"/>
      <c r="N62" s="1045"/>
      <c r="O62" s="1044"/>
      <c r="P62" s="1046"/>
      <c r="Q62" s="1045"/>
      <c r="R62" s="1044"/>
      <c r="S62" s="1046"/>
      <c r="T62" s="1045"/>
    </row>
    <row r="63" spans="1:28" ht="13.15">
      <c r="A63" s="879"/>
      <c r="B63" s="1047" t="s">
        <v>1189</v>
      </c>
      <c r="C63" s="1054"/>
      <c r="D63" s="1054"/>
      <c r="E63" s="1054"/>
      <c r="F63" s="1054"/>
      <c r="G63" s="1054"/>
      <c r="H63" s="1054"/>
      <c r="I63" s="1054"/>
      <c r="J63" s="1055"/>
      <c r="K63" s="1050" t="str">
        <f>IF(SUM(R31:T61)=0," ",SUM(R31:T61))</f>
        <v xml:space="preserve"> </v>
      </c>
      <c r="L63" s="1051"/>
      <c r="M63" s="1051"/>
      <c r="N63" s="1051"/>
      <c r="O63" s="1051"/>
      <c r="P63" s="1051"/>
      <c r="Q63" s="1051"/>
      <c r="R63" s="1051"/>
      <c r="S63" s="1051"/>
      <c r="T63" s="1052"/>
      <c r="V63" s="880"/>
      <c r="W63" s="880"/>
      <c r="X63" s="880"/>
      <c r="Y63" s="880"/>
      <c r="Z63" s="880"/>
      <c r="AA63" s="880"/>
      <c r="AB63" s="880"/>
    </row>
    <row r="64" spans="1:28" ht="20.25" customHeight="1">
      <c r="A64" s="840" t="s">
        <v>1200</v>
      </c>
      <c r="B64" s="841" t="s">
        <v>1201</v>
      </c>
      <c r="C64" s="842"/>
      <c r="D64" s="842"/>
      <c r="E64" s="842"/>
      <c r="F64" s="842"/>
      <c r="G64" s="842"/>
      <c r="H64" s="842"/>
      <c r="I64" s="842"/>
      <c r="J64" s="842"/>
      <c r="K64" s="843"/>
      <c r="L64" s="843"/>
      <c r="M64" s="843"/>
      <c r="N64" s="843"/>
      <c r="O64" s="843"/>
      <c r="P64" s="843"/>
      <c r="Q64" s="844"/>
      <c r="R64" s="844"/>
      <c r="S64" s="844"/>
      <c r="T64" s="845"/>
    </row>
    <row r="65" spans="1:21" ht="15" customHeight="1">
      <c r="A65" s="833"/>
      <c r="B65" s="834"/>
      <c r="J65" s="835"/>
      <c r="K65" s="836"/>
      <c r="L65" s="835"/>
      <c r="M65" s="836"/>
      <c r="N65" s="835"/>
      <c r="O65" s="836"/>
      <c r="Q65" s="837"/>
      <c r="R65" s="838"/>
      <c r="S65" s="839"/>
      <c r="T65" s="837"/>
    </row>
    <row r="66" spans="1:21" ht="15" customHeight="1">
      <c r="A66" s="846" t="s">
        <v>1177</v>
      </c>
      <c r="B66" s="847" t="s">
        <v>7</v>
      </c>
      <c r="C66" s="848"/>
      <c r="D66" s="848"/>
      <c r="E66" s="848"/>
      <c r="F66" s="848"/>
      <c r="G66" s="848"/>
      <c r="H66" s="848"/>
      <c r="I66" s="848"/>
      <c r="J66" s="849"/>
      <c r="K66" s="850"/>
      <c r="L66" s="851"/>
      <c r="M66" s="850"/>
      <c r="N66" s="851"/>
      <c r="O66" s="850"/>
      <c r="P66" s="852"/>
      <c r="Q66" s="853"/>
      <c r="R66" s="854"/>
      <c r="S66" s="855"/>
      <c r="T66" s="853"/>
    </row>
    <row r="67" spans="1:21" ht="10.5" customHeight="1">
      <c r="A67" s="833"/>
      <c r="B67" s="836"/>
      <c r="J67" s="835"/>
      <c r="K67" s="856"/>
      <c r="L67" s="857"/>
      <c r="M67" s="856"/>
      <c r="N67" s="857"/>
      <c r="O67" s="856"/>
      <c r="P67" s="858"/>
      <c r="Q67" s="859"/>
      <c r="R67" s="860"/>
      <c r="S67" s="861"/>
      <c r="T67" s="862"/>
      <c r="U67" s="863"/>
    </row>
    <row r="68" spans="1:21" s="865" customFormat="1" ht="75" customHeight="1">
      <c r="A68" s="864">
        <v>1</v>
      </c>
      <c r="B68" s="1016" t="s">
        <v>1202</v>
      </c>
      <c r="C68" s="1017"/>
      <c r="D68" s="1017"/>
      <c r="E68" s="1017"/>
      <c r="F68" s="1017"/>
      <c r="G68" s="1017"/>
      <c r="H68" s="1017"/>
      <c r="I68" s="1017"/>
      <c r="J68" s="1018"/>
      <c r="K68" s="1019" t="s">
        <v>1179</v>
      </c>
      <c r="L68" s="1020"/>
      <c r="M68" s="1019">
        <v>1</v>
      </c>
      <c r="N68" s="1020"/>
      <c r="O68" s="1021"/>
      <c r="P68" s="1022"/>
      <c r="Q68" s="1023"/>
      <c r="R68" s="1019">
        <f t="shared" ref="R68" si="9">M68*O68</f>
        <v>0</v>
      </c>
      <c r="S68" s="1024"/>
      <c r="T68" s="1020"/>
    </row>
    <row r="69" spans="1:21" s="865" customFormat="1" ht="102.75" customHeight="1">
      <c r="A69" s="864">
        <v>2</v>
      </c>
      <c r="B69" s="1016" t="s">
        <v>1203</v>
      </c>
      <c r="C69" s="1017"/>
      <c r="D69" s="1017"/>
      <c r="E69" s="1017"/>
      <c r="F69" s="1017"/>
      <c r="G69" s="1017"/>
      <c r="H69" s="1017"/>
      <c r="I69" s="1017"/>
      <c r="J69" s="1018"/>
      <c r="K69" s="1019"/>
      <c r="L69" s="1020"/>
      <c r="M69" s="1019"/>
      <c r="N69" s="1020"/>
      <c r="O69" s="1021"/>
      <c r="P69" s="1022"/>
      <c r="Q69" s="1023"/>
      <c r="R69" s="1019" t="str">
        <f t="shared" ref="R69:R76" si="10">IF(O69=0," ",O69*M69)</f>
        <v xml:space="preserve"> </v>
      </c>
      <c r="S69" s="1024"/>
      <c r="T69" s="1020"/>
    </row>
    <row r="70" spans="1:21" s="865" customFormat="1" ht="15" customHeight="1">
      <c r="A70" s="864"/>
      <c r="B70" s="1016" t="s">
        <v>1867</v>
      </c>
      <c r="C70" s="1017"/>
      <c r="D70" s="1017"/>
      <c r="E70" s="1017"/>
      <c r="F70" s="1017"/>
      <c r="G70" s="1017"/>
      <c r="H70" s="1017"/>
      <c r="I70" s="1017"/>
      <c r="J70" s="1018"/>
      <c r="K70" s="1019" t="s">
        <v>1181</v>
      </c>
      <c r="L70" s="1020"/>
      <c r="M70" s="1019">
        <f>136*0.7*1.1+64</f>
        <v>168.72</v>
      </c>
      <c r="N70" s="1020"/>
      <c r="O70" s="1021"/>
      <c r="P70" s="1022"/>
      <c r="Q70" s="1023"/>
      <c r="R70" s="1019">
        <f t="shared" ref="R70:R71" si="11">M70*O70</f>
        <v>0</v>
      </c>
      <c r="S70" s="1024"/>
      <c r="T70" s="1020"/>
    </row>
    <row r="71" spans="1:21" s="865" customFormat="1" ht="15" customHeight="1">
      <c r="A71" s="864"/>
      <c r="B71" s="1016" t="s">
        <v>1868</v>
      </c>
      <c r="C71" s="1017"/>
      <c r="D71" s="1017"/>
      <c r="E71" s="1017"/>
      <c r="F71" s="1017"/>
      <c r="G71" s="1017"/>
      <c r="H71" s="1017"/>
      <c r="I71" s="1017"/>
      <c r="J71" s="1018"/>
      <c r="K71" s="1019" t="s">
        <v>1181</v>
      </c>
      <c r="L71" s="1020"/>
      <c r="M71" s="1019">
        <f>136*0.7*0.1+3.2</f>
        <v>12.719999999999999</v>
      </c>
      <c r="N71" s="1020"/>
      <c r="O71" s="1021"/>
      <c r="P71" s="1022"/>
      <c r="Q71" s="1023"/>
      <c r="R71" s="1019">
        <f t="shared" si="11"/>
        <v>0</v>
      </c>
      <c r="S71" s="1024"/>
      <c r="T71" s="1020"/>
    </row>
    <row r="72" spans="1:21" s="865" customFormat="1" ht="15" customHeight="1">
      <c r="A72" s="864"/>
      <c r="B72" s="1016"/>
      <c r="C72" s="1017"/>
      <c r="D72" s="1017"/>
      <c r="E72" s="1017"/>
      <c r="F72" s="1017"/>
      <c r="G72" s="1017"/>
      <c r="H72" s="1017"/>
      <c r="I72" s="1017"/>
      <c r="J72" s="1018"/>
      <c r="K72" s="1019"/>
      <c r="L72" s="1020"/>
      <c r="M72" s="1019"/>
      <c r="N72" s="1020"/>
      <c r="O72" s="1019"/>
      <c r="P72" s="1024"/>
      <c r="Q72" s="1020"/>
      <c r="R72" s="1019" t="str">
        <f t="shared" si="10"/>
        <v xml:space="preserve"> </v>
      </c>
      <c r="S72" s="1024"/>
      <c r="T72" s="1020"/>
    </row>
    <row r="73" spans="1:21" s="865" customFormat="1" ht="93.75" customHeight="1">
      <c r="A73" s="864">
        <v>3</v>
      </c>
      <c r="B73" s="1016" t="s">
        <v>1204</v>
      </c>
      <c r="C73" s="1017"/>
      <c r="D73" s="1017"/>
      <c r="E73" s="1017"/>
      <c r="F73" s="1017"/>
      <c r="G73" s="1017"/>
      <c r="H73" s="1017"/>
      <c r="I73" s="1017"/>
      <c r="J73" s="1018"/>
      <c r="K73" s="1019" t="s">
        <v>1181</v>
      </c>
      <c r="L73" s="1020"/>
      <c r="M73" s="1019">
        <v>452</v>
      </c>
      <c r="N73" s="1020"/>
      <c r="O73" s="1021"/>
      <c r="P73" s="1022"/>
      <c r="Q73" s="1023"/>
      <c r="R73" s="1019">
        <f t="shared" ref="R73" si="12">M73*O73</f>
        <v>0</v>
      </c>
      <c r="S73" s="1024"/>
      <c r="T73" s="1020"/>
    </row>
    <row r="74" spans="1:21" s="865" customFormat="1" ht="15" customHeight="1">
      <c r="A74" s="864"/>
      <c r="B74" s="1016"/>
      <c r="C74" s="1017"/>
      <c r="D74" s="1017"/>
      <c r="E74" s="1017"/>
      <c r="F74" s="1017"/>
      <c r="G74" s="1017"/>
      <c r="H74" s="1017"/>
      <c r="I74" s="1017"/>
      <c r="J74" s="1018"/>
      <c r="K74" s="1019"/>
      <c r="L74" s="1020"/>
      <c r="M74" s="1019"/>
      <c r="N74" s="1020"/>
      <c r="O74" s="1019"/>
      <c r="P74" s="1024"/>
      <c r="Q74" s="1020"/>
      <c r="R74" s="1019" t="str">
        <f t="shared" si="10"/>
        <v xml:space="preserve"> </v>
      </c>
      <c r="S74" s="1024"/>
      <c r="T74" s="1020"/>
    </row>
    <row r="75" spans="1:21" s="865" customFormat="1" ht="15" customHeight="1">
      <c r="A75" s="864">
        <v>4</v>
      </c>
      <c r="B75" s="1016" t="s">
        <v>1205</v>
      </c>
      <c r="C75" s="1017"/>
      <c r="D75" s="1017"/>
      <c r="E75" s="1017"/>
      <c r="F75" s="1017"/>
      <c r="G75" s="1017"/>
      <c r="H75" s="1017"/>
      <c r="I75" s="1017"/>
      <c r="J75" s="1018"/>
      <c r="K75" s="1019" t="s">
        <v>1183</v>
      </c>
      <c r="L75" s="1020"/>
      <c r="M75" s="1019">
        <f>136*0.7+32</f>
        <v>127.19999999999999</v>
      </c>
      <c r="N75" s="1020"/>
      <c r="O75" s="1021"/>
      <c r="P75" s="1022"/>
      <c r="Q75" s="1023"/>
      <c r="R75" s="1019">
        <f t="shared" ref="R75" si="13">M75*O75</f>
        <v>0</v>
      </c>
      <c r="S75" s="1024"/>
      <c r="T75" s="1020"/>
    </row>
    <row r="76" spans="1:21" s="865" customFormat="1" ht="15" customHeight="1">
      <c r="A76" s="864"/>
      <c r="B76" s="1016"/>
      <c r="C76" s="1017"/>
      <c r="D76" s="1017"/>
      <c r="E76" s="1017"/>
      <c r="F76" s="1017"/>
      <c r="G76" s="1017"/>
      <c r="H76" s="1017"/>
      <c r="I76" s="1017"/>
      <c r="J76" s="1018"/>
      <c r="K76" s="1019"/>
      <c r="L76" s="1020"/>
      <c r="M76" s="1019"/>
      <c r="N76" s="1020"/>
      <c r="O76" s="1019"/>
      <c r="P76" s="1024"/>
      <c r="Q76" s="1020"/>
      <c r="R76" s="1019" t="str">
        <f t="shared" si="10"/>
        <v xml:space="preserve"> </v>
      </c>
      <c r="S76" s="1024"/>
      <c r="T76" s="1020"/>
    </row>
    <row r="77" spans="1:21" s="865" customFormat="1" ht="41.25" customHeight="1">
      <c r="A77" s="864">
        <v>5</v>
      </c>
      <c r="B77" s="1016" t="s">
        <v>1206</v>
      </c>
      <c r="C77" s="1017"/>
      <c r="D77" s="1017"/>
      <c r="E77" s="1017"/>
      <c r="F77" s="1017"/>
      <c r="G77" s="1017"/>
      <c r="H77" s="1017"/>
      <c r="I77" s="1017"/>
      <c r="J77" s="1018"/>
      <c r="K77" s="1019" t="s">
        <v>1181</v>
      </c>
      <c r="L77" s="1020"/>
      <c r="M77" s="1019">
        <f>136*0.7*0.1</f>
        <v>9.52</v>
      </c>
      <c r="N77" s="1020"/>
      <c r="O77" s="1021"/>
      <c r="P77" s="1022"/>
      <c r="Q77" s="1023"/>
      <c r="R77" s="1019">
        <f t="shared" ref="R77" si="14">M77*O77</f>
        <v>0</v>
      </c>
      <c r="S77" s="1024"/>
      <c r="T77" s="1020"/>
    </row>
    <row r="78" spans="1:21" s="865" customFormat="1" ht="41.25" customHeight="1">
      <c r="A78" s="864">
        <v>6</v>
      </c>
      <c r="B78" s="1016" t="s">
        <v>1207</v>
      </c>
      <c r="C78" s="1017"/>
      <c r="D78" s="1017"/>
      <c r="E78" s="1017"/>
      <c r="F78" s="1017"/>
      <c r="G78" s="1017"/>
      <c r="H78" s="1017"/>
      <c r="I78" s="1017"/>
      <c r="J78" s="1018"/>
      <c r="K78" s="1019" t="s">
        <v>1181</v>
      </c>
      <c r="L78" s="1020"/>
      <c r="M78" s="1019">
        <f>136*0.7*0.4</f>
        <v>38.08</v>
      </c>
      <c r="N78" s="1020"/>
      <c r="O78" s="1021"/>
      <c r="P78" s="1022"/>
      <c r="Q78" s="1023"/>
      <c r="R78" s="1019">
        <f t="shared" ref="R78:R82" si="15">M78*O78</f>
        <v>0</v>
      </c>
      <c r="S78" s="1024"/>
      <c r="T78" s="1020"/>
    </row>
    <row r="79" spans="1:21" s="865" customFormat="1" ht="61.5" customHeight="1">
      <c r="A79" s="864">
        <v>7</v>
      </c>
      <c r="B79" s="1016" t="s">
        <v>1186</v>
      </c>
      <c r="C79" s="1017"/>
      <c r="D79" s="1017"/>
      <c r="E79" s="1017"/>
      <c r="F79" s="1017"/>
      <c r="G79" s="1017"/>
      <c r="H79" s="1017"/>
      <c r="I79" s="1017"/>
      <c r="J79" s="1018"/>
      <c r="K79" s="1019" t="s">
        <v>1181</v>
      </c>
      <c r="L79" s="1020"/>
      <c r="M79" s="1019">
        <f>136*0.7*0.7</f>
        <v>66.639999999999986</v>
      </c>
      <c r="N79" s="1020"/>
      <c r="O79" s="1021"/>
      <c r="P79" s="1022"/>
      <c r="Q79" s="1023"/>
      <c r="R79" s="1019">
        <f t="shared" si="15"/>
        <v>0</v>
      </c>
      <c r="S79" s="1024"/>
      <c r="T79" s="1020"/>
    </row>
    <row r="80" spans="1:21" s="865" customFormat="1" ht="53.25" customHeight="1">
      <c r="A80" s="864">
        <v>8</v>
      </c>
      <c r="B80" s="1016" t="s">
        <v>1208</v>
      </c>
      <c r="C80" s="1017"/>
      <c r="D80" s="1017"/>
      <c r="E80" s="1017"/>
      <c r="F80" s="1017"/>
      <c r="G80" s="1017"/>
      <c r="H80" s="1017"/>
      <c r="I80" s="1017"/>
      <c r="J80" s="1018"/>
      <c r="K80" s="1019" t="s">
        <v>1181</v>
      </c>
      <c r="L80" s="1020"/>
      <c r="M80" s="1019">
        <v>390</v>
      </c>
      <c r="N80" s="1020"/>
      <c r="O80" s="1021"/>
      <c r="P80" s="1022"/>
      <c r="Q80" s="1023"/>
      <c r="R80" s="1019">
        <f t="shared" si="15"/>
        <v>0</v>
      </c>
      <c r="S80" s="1024"/>
      <c r="T80" s="1020"/>
    </row>
    <row r="81" spans="1:28" s="865" customFormat="1" ht="53.25" customHeight="1">
      <c r="A81" s="864">
        <v>9</v>
      </c>
      <c r="B81" s="1016" t="s">
        <v>1209</v>
      </c>
      <c r="C81" s="1017"/>
      <c r="D81" s="1017"/>
      <c r="E81" s="1017"/>
      <c r="F81" s="1017"/>
      <c r="G81" s="1017"/>
      <c r="H81" s="1017"/>
      <c r="I81" s="1017"/>
      <c r="J81" s="1018"/>
      <c r="K81" s="1019" t="s">
        <v>1181</v>
      </c>
      <c r="L81" s="1020"/>
      <c r="M81" s="1019">
        <f>M70+M71+M73-M80</f>
        <v>243.44000000000005</v>
      </c>
      <c r="N81" s="1020"/>
      <c r="O81" s="1021"/>
      <c r="P81" s="1022"/>
      <c r="Q81" s="1023"/>
      <c r="R81" s="1019">
        <f t="shared" si="15"/>
        <v>0</v>
      </c>
      <c r="S81" s="1024"/>
      <c r="T81" s="1020"/>
    </row>
    <row r="82" spans="1:28" s="865" customFormat="1" ht="138" customHeight="1">
      <c r="A82" s="864">
        <v>10</v>
      </c>
      <c r="B82" s="1016" t="s">
        <v>1210</v>
      </c>
      <c r="C82" s="1017"/>
      <c r="D82" s="1017"/>
      <c r="E82" s="1017"/>
      <c r="F82" s="1017"/>
      <c r="G82" s="1017"/>
      <c r="H82" s="1017"/>
      <c r="I82" s="1017"/>
      <c r="J82" s="1018"/>
      <c r="K82" s="1019" t="s">
        <v>1179</v>
      </c>
      <c r="L82" s="1020"/>
      <c r="M82" s="1019">
        <v>8</v>
      </c>
      <c r="N82" s="1020"/>
      <c r="O82" s="1021"/>
      <c r="P82" s="1022"/>
      <c r="Q82" s="1023"/>
      <c r="R82" s="1019">
        <f t="shared" si="15"/>
        <v>0</v>
      </c>
      <c r="S82" s="1024"/>
      <c r="T82" s="1020"/>
    </row>
    <row r="83" spans="1:28" s="865" customFormat="1" ht="138" customHeight="1">
      <c r="A83" s="864">
        <v>11</v>
      </c>
      <c r="B83" s="1016" t="s">
        <v>1211</v>
      </c>
      <c r="C83" s="1017"/>
      <c r="D83" s="1017"/>
      <c r="E83" s="1017"/>
      <c r="F83" s="1017"/>
      <c r="G83" s="1017"/>
      <c r="H83" s="1017"/>
      <c r="I83" s="1017"/>
      <c r="J83" s="1018"/>
      <c r="K83" s="1019"/>
      <c r="L83" s="1020"/>
      <c r="M83" s="1019"/>
      <c r="N83" s="1020"/>
      <c r="O83" s="1019"/>
      <c r="P83" s="1024"/>
      <c r="Q83" s="1020"/>
      <c r="R83" s="1019"/>
      <c r="S83" s="1024"/>
      <c r="T83" s="1020"/>
    </row>
    <row r="84" spans="1:28" s="865" customFormat="1" ht="15" customHeight="1">
      <c r="A84" s="864"/>
      <c r="B84" s="1016" t="s">
        <v>1869</v>
      </c>
      <c r="C84" s="1017"/>
      <c r="D84" s="1017"/>
      <c r="E84" s="1017"/>
      <c r="F84" s="1017"/>
      <c r="G84" s="1017"/>
      <c r="H84" s="1017"/>
      <c r="I84" s="1017"/>
      <c r="J84" s="1018"/>
      <c r="K84" s="1019" t="s">
        <v>10</v>
      </c>
      <c r="L84" s="1020"/>
      <c r="M84" s="1019">
        <v>5.0999999999999996</v>
      </c>
      <c r="N84" s="1020"/>
      <c r="O84" s="1021"/>
      <c r="P84" s="1022"/>
      <c r="Q84" s="1023"/>
      <c r="R84" s="1019">
        <f t="shared" ref="R84" si="16">M84*O84</f>
        <v>0</v>
      </c>
      <c r="S84" s="1024"/>
      <c r="T84" s="1020"/>
    </row>
    <row r="85" spans="1:28" s="865" customFormat="1" ht="15" customHeight="1">
      <c r="A85" s="864"/>
      <c r="B85" s="1016" t="s">
        <v>1870</v>
      </c>
      <c r="C85" s="1017"/>
      <c r="D85" s="1017"/>
      <c r="E85" s="1017"/>
      <c r="F85" s="1017"/>
      <c r="G85" s="1017"/>
      <c r="H85" s="1017"/>
      <c r="I85" s="1017"/>
      <c r="J85" s="1018"/>
      <c r="K85" s="1019" t="s">
        <v>10</v>
      </c>
      <c r="L85" s="1020"/>
      <c r="M85" s="1019">
        <v>1.7</v>
      </c>
      <c r="N85" s="1020"/>
      <c r="O85" s="1021"/>
      <c r="P85" s="1022"/>
      <c r="Q85" s="1023"/>
      <c r="R85" s="1019">
        <f t="shared" ref="R85:R91" si="17">M85*O85</f>
        <v>0</v>
      </c>
      <c r="S85" s="1024"/>
      <c r="T85" s="1020"/>
    </row>
    <row r="86" spans="1:28" s="865" customFormat="1" ht="15" customHeight="1">
      <c r="A86" s="864"/>
      <c r="B86" s="1016" t="s">
        <v>1871</v>
      </c>
      <c r="C86" s="1017"/>
      <c r="D86" s="1017"/>
      <c r="E86" s="1017"/>
      <c r="F86" s="1017"/>
      <c r="G86" s="1017"/>
      <c r="H86" s="1017"/>
      <c r="I86" s="1017"/>
      <c r="J86" s="1018"/>
      <c r="K86" s="1019" t="s">
        <v>10</v>
      </c>
      <c r="L86" s="1020"/>
      <c r="M86" s="1019">
        <f>5.05+10.5+3.05+1.7</f>
        <v>20.3</v>
      </c>
      <c r="N86" s="1020"/>
      <c r="O86" s="1021"/>
      <c r="P86" s="1022"/>
      <c r="Q86" s="1023"/>
      <c r="R86" s="1019">
        <f t="shared" si="17"/>
        <v>0</v>
      </c>
      <c r="S86" s="1024"/>
      <c r="T86" s="1020"/>
    </row>
    <row r="87" spans="1:28" s="865" customFormat="1" ht="15" customHeight="1">
      <c r="A87" s="864"/>
      <c r="B87" s="1016" t="s">
        <v>1872</v>
      </c>
      <c r="C87" s="1017"/>
      <c r="D87" s="1017"/>
      <c r="E87" s="1017"/>
      <c r="F87" s="1017"/>
      <c r="G87" s="1017"/>
      <c r="H87" s="1017"/>
      <c r="I87" s="1017"/>
      <c r="J87" s="1018"/>
      <c r="K87" s="1019" t="s">
        <v>2</v>
      </c>
      <c r="L87" s="1020"/>
      <c r="M87" s="1019">
        <f>5+49+48+13.6</f>
        <v>115.6</v>
      </c>
      <c r="N87" s="1020"/>
      <c r="O87" s="1021"/>
      <c r="P87" s="1022"/>
      <c r="Q87" s="1023"/>
      <c r="R87" s="1019">
        <f t="shared" si="17"/>
        <v>0</v>
      </c>
      <c r="S87" s="1024"/>
      <c r="T87" s="1020"/>
    </row>
    <row r="88" spans="1:28" s="865" customFormat="1" ht="15" customHeight="1">
      <c r="A88" s="864"/>
      <c r="B88" s="1016" t="s">
        <v>1873</v>
      </c>
      <c r="C88" s="1017"/>
      <c r="D88" s="1017"/>
      <c r="E88" s="1017"/>
      <c r="F88" s="1017"/>
      <c r="G88" s="1017"/>
      <c r="H88" s="1017"/>
      <c r="I88" s="1017"/>
      <c r="J88" s="1018"/>
      <c r="K88" s="1019" t="s">
        <v>138</v>
      </c>
      <c r="L88" s="1020"/>
      <c r="M88" s="1019">
        <f>M86*120</f>
        <v>2436</v>
      </c>
      <c r="N88" s="1020"/>
      <c r="O88" s="1021"/>
      <c r="P88" s="1022"/>
      <c r="Q88" s="1023"/>
      <c r="R88" s="1019">
        <f t="shared" si="17"/>
        <v>0</v>
      </c>
      <c r="S88" s="1024"/>
      <c r="T88" s="1020"/>
    </row>
    <row r="89" spans="1:28" s="865" customFormat="1" ht="15" customHeight="1">
      <c r="A89" s="864"/>
      <c r="B89" s="1016" t="s">
        <v>1874</v>
      </c>
      <c r="C89" s="1017"/>
      <c r="D89" s="1017"/>
      <c r="E89" s="1017"/>
      <c r="F89" s="1017"/>
      <c r="G89" s="1017"/>
      <c r="H89" s="1017"/>
      <c r="I89" s="1017"/>
      <c r="J89" s="1018"/>
      <c r="K89" s="1019" t="s">
        <v>2</v>
      </c>
      <c r="L89" s="1020"/>
      <c r="M89" s="1019">
        <v>51</v>
      </c>
      <c r="N89" s="1020"/>
      <c r="O89" s="1021"/>
      <c r="P89" s="1022"/>
      <c r="Q89" s="1023"/>
      <c r="R89" s="1019">
        <f t="shared" si="17"/>
        <v>0</v>
      </c>
      <c r="S89" s="1024"/>
      <c r="T89" s="1020"/>
    </row>
    <row r="90" spans="1:28" s="865" customFormat="1" ht="15" customHeight="1">
      <c r="A90" s="864"/>
      <c r="B90" s="1016" t="s">
        <v>1875</v>
      </c>
      <c r="C90" s="1017"/>
      <c r="D90" s="1017"/>
      <c r="E90" s="1017"/>
      <c r="F90" s="1017"/>
      <c r="G90" s="1017"/>
      <c r="H90" s="1017"/>
      <c r="I90" s="1017"/>
      <c r="J90" s="1018"/>
      <c r="K90" s="1019" t="s">
        <v>24</v>
      </c>
      <c r="L90" s="1020"/>
      <c r="M90" s="1019">
        <v>2</v>
      </c>
      <c r="N90" s="1020"/>
      <c r="O90" s="1021"/>
      <c r="P90" s="1022"/>
      <c r="Q90" s="1023"/>
      <c r="R90" s="1019">
        <f t="shared" si="17"/>
        <v>0</v>
      </c>
      <c r="S90" s="1024"/>
      <c r="T90" s="1020"/>
    </row>
    <row r="91" spans="1:28" s="865" customFormat="1" ht="15" customHeight="1">
      <c r="A91" s="864"/>
      <c r="B91" s="1016" t="s">
        <v>1876</v>
      </c>
      <c r="C91" s="1017"/>
      <c r="D91" s="1017"/>
      <c r="E91" s="1017"/>
      <c r="F91" s="1017"/>
      <c r="G91" s="1017"/>
      <c r="H91" s="1017"/>
      <c r="I91" s="1017"/>
      <c r="J91" s="1018"/>
      <c r="K91" s="1019" t="s">
        <v>1179</v>
      </c>
      <c r="L91" s="1020"/>
      <c r="M91" s="1019">
        <v>1</v>
      </c>
      <c r="N91" s="1020"/>
      <c r="O91" s="1021"/>
      <c r="P91" s="1022"/>
      <c r="Q91" s="1023"/>
      <c r="R91" s="1019">
        <f t="shared" si="17"/>
        <v>0</v>
      </c>
      <c r="S91" s="1024"/>
      <c r="T91" s="1020"/>
    </row>
    <row r="92" spans="1:28" s="867" customFormat="1" ht="11.65">
      <c r="A92" s="866"/>
      <c r="B92" s="1041"/>
      <c r="C92" s="1042"/>
      <c r="D92" s="1042"/>
      <c r="E92" s="1042"/>
      <c r="F92" s="1042"/>
      <c r="G92" s="1042"/>
      <c r="H92" s="1042"/>
      <c r="I92" s="1042"/>
      <c r="J92" s="1043"/>
      <c r="K92" s="1044"/>
      <c r="L92" s="1045"/>
      <c r="M92" s="1044"/>
      <c r="N92" s="1045"/>
      <c r="O92" s="1044"/>
      <c r="P92" s="1046"/>
      <c r="Q92" s="1045"/>
      <c r="R92" s="1044"/>
      <c r="S92" s="1046"/>
      <c r="T92" s="1045"/>
    </row>
    <row r="93" spans="1:28" ht="13.15">
      <c r="A93" s="879"/>
      <c r="B93" s="1047" t="s">
        <v>1189</v>
      </c>
      <c r="C93" s="1054"/>
      <c r="D93" s="1054"/>
      <c r="E93" s="1054"/>
      <c r="F93" s="1054"/>
      <c r="G93" s="1054"/>
      <c r="H93" s="1054"/>
      <c r="I93" s="1054"/>
      <c r="J93" s="1055"/>
      <c r="K93" s="1050" t="str">
        <f>IF(SUM(R68:T92)=0," ",SUM(R68:T92))</f>
        <v xml:space="preserve"> </v>
      </c>
      <c r="L93" s="1051"/>
      <c r="M93" s="1051"/>
      <c r="N93" s="1051"/>
      <c r="O93" s="1051"/>
      <c r="P93" s="1051"/>
      <c r="Q93" s="1051"/>
      <c r="R93" s="1051"/>
      <c r="S93" s="1051"/>
      <c r="T93" s="1052"/>
      <c r="V93" s="880"/>
      <c r="W93" s="880"/>
      <c r="X93" s="880"/>
      <c r="Y93" s="880"/>
      <c r="Z93" s="880"/>
      <c r="AA93" s="880"/>
      <c r="AB93" s="880"/>
    </row>
    <row r="94" spans="1:28" ht="15" customHeight="1">
      <c r="A94" s="833"/>
      <c r="B94" s="834"/>
      <c r="J94" s="835"/>
      <c r="K94" s="836"/>
      <c r="L94" s="835"/>
      <c r="M94" s="836"/>
      <c r="N94" s="835"/>
      <c r="O94" s="836"/>
      <c r="Q94" s="837"/>
      <c r="R94" s="838"/>
      <c r="S94" s="839"/>
      <c r="T94" s="837"/>
    </row>
    <row r="95" spans="1:28" ht="15" customHeight="1">
      <c r="A95" s="846" t="s">
        <v>1190</v>
      </c>
      <c r="B95" s="847" t="s">
        <v>1191</v>
      </c>
      <c r="C95" s="848"/>
      <c r="D95" s="848"/>
      <c r="E95" s="848"/>
      <c r="F95" s="848"/>
      <c r="G95" s="848"/>
      <c r="H95" s="848"/>
      <c r="I95" s="848"/>
      <c r="J95" s="849"/>
      <c r="K95" s="850"/>
      <c r="L95" s="851"/>
      <c r="M95" s="850"/>
      <c r="N95" s="851"/>
      <c r="O95" s="850"/>
      <c r="P95" s="852"/>
      <c r="Q95" s="853"/>
      <c r="R95" s="854"/>
      <c r="S95" s="855"/>
      <c r="T95" s="853"/>
    </row>
    <row r="96" spans="1:28" ht="10.5" customHeight="1">
      <c r="A96" s="833"/>
      <c r="B96" s="836"/>
      <c r="J96" s="835"/>
      <c r="K96" s="856"/>
      <c r="L96" s="857"/>
      <c r="M96" s="856"/>
      <c r="N96" s="857"/>
      <c r="O96" s="856"/>
      <c r="P96" s="858"/>
      <c r="Q96" s="859"/>
      <c r="R96" s="860"/>
      <c r="S96" s="861"/>
      <c r="T96" s="862"/>
      <c r="U96" s="863"/>
    </row>
    <row r="97" spans="1:28" s="865" customFormat="1" ht="110.25" customHeight="1">
      <c r="A97" s="864">
        <v>1</v>
      </c>
      <c r="B97" s="1056" t="s">
        <v>1212</v>
      </c>
      <c r="C97" s="1017"/>
      <c r="D97" s="1017"/>
      <c r="E97" s="1017"/>
      <c r="F97" s="1017"/>
      <c r="G97" s="1017"/>
      <c r="H97" s="1017"/>
      <c r="I97" s="1017"/>
      <c r="J97" s="1018"/>
      <c r="K97" s="1019"/>
      <c r="L97" s="1020"/>
      <c r="M97" s="1019"/>
      <c r="N97" s="1020"/>
      <c r="O97" s="1019"/>
      <c r="P97" s="1024"/>
      <c r="Q97" s="1020"/>
      <c r="R97" s="1019" t="str">
        <f t="shared" ref="R97" si="18">IF(O97=0," ",O97*M97)</f>
        <v xml:space="preserve"> </v>
      </c>
      <c r="S97" s="1024"/>
      <c r="T97" s="1020"/>
    </row>
    <row r="98" spans="1:28" s="865" customFormat="1" ht="15" customHeight="1">
      <c r="A98" s="864"/>
      <c r="B98" s="1016" t="s">
        <v>1877</v>
      </c>
      <c r="C98" s="1017"/>
      <c r="D98" s="1017"/>
      <c r="E98" s="1017"/>
      <c r="F98" s="1017"/>
      <c r="G98" s="1017"/>
      <c r="H98" s="1017"/>
      <c r="I98" s="1017"/>
      <c r="J98" s="1018"/>
      <c r="K98" s="1019" t="s">
        <v>1194</v>
      </c>
      <c r="L98" s="1020"/>
      <c r="M98" s="1019">
        <v>37.5</v>
      </c>
      <c r="N98" s="1020"/>
      <c r="O98" s="1021"/>
      <c r="P98" s="1022"/>
      <c r="Q98" s="1023"/>
      <c r="R98" s="1019">
        <f t="shared" ref="R98" si="19">M98*O98</f>
        <v>0</v>
      </c>
      <c r="S98" s="1024"/>
      <c r="T98" s="1020"/>
    </row>
    <row r="99" spans="1:28" s="865" customFormat="1" ht="15" customHeight="1">
      <c r="A99" s="864"/>
      <c r="B99" s="1016" t="s">
        <v>1878</v>
      </c>
      <c r="C99" s="1017"/>
      <c r="D99" s="1017"/>
      <c r="E99" s="1017"/>
      <c r="F99" s="1017"/>
      <c r="G99" s="1017"/>
      <c r="H99" s="1017"/>
      <c r="I99" s="1017"/>
      <c r="J99" s="1018"/>
      <c r="K99" s="1019" t="s">
        <v>1194</v>
      </c>
      <c r="L99" s="1020"/>
      <c r="M99" s="1019">
        <v>72.5</v>
      </c>
      <c r="N99" s="1020"/>
      <c r="O99" s="1021"/>
      <c r="P99" s="1022"/>
      <c r="Q99" s="1023"/>
      <c r="R99" s="1019">
        <f t="shared" ref="R99:R106" si="20">M99*O99</f>
        <v>0</v>
      </c>
      <c r="S99" s="1024"/>
      <c r="T99" s="1020"/>
    </row>
    <row r="100" spans="1:28" s="865" customFormat="1" ht="15" customHeight="1">
      <c r="A100" s="864"/>
      <c r="B100" s="1016" t="s">
        <v>1879</v>
      </c>
      <c r="C100" s="1017"/>
      <c r="D100" s="1017"/>
      <c r="E100" s="1017"/>
      <c r="F100" s="1017"/>
      <c r="G100" s="1017"/>
      <c r="H100" s="1017"/>
      <c r="I100" s="1017"/>
      <c r="J100" s="1018"/>
      <c r="K100" s="1019" t="s">
        <v>1194</v>
      </c>
      <c r="L100" s="1020"/>
      <c r="M100" s="1019">
        <v>38.5</v>
      </c>
      <c r="N100" s="1020"/>
      <c r="O100" s="1021"/>
      <c r="P100" s="1022"/>
      <c r="Q100" s="1023"/>
      <c r="R100" s="1019">
        <f t="shared" si="20"/>
        <v>0</v>
      </c>
      <c r="S100" s="1024"/>
      <c r="T100" s="1020"/>
    </row>
    <row r="101" spans="1:28" s="865" customFormat="1" ht="15" customHeight="1">
      <c r="A101" s="864"/>
      <c r="B101" s="1016" t="s">
        <v>1880</v>
      </c>
      <c r="C101" s="1017"/>
      <c r="D101" s="1017"/>
      <c r="E101" s="1017"/>
      <c r="F101" s="1017"/>
      <c r="G101" s="1017"/>
      <c r="H101" s="1017"/>
      <c r="I101" s="1017"/>
      <c r="J101" s="1018"/>
      <c r="K101" s="1019" t="s">
        <v>1194</v>
      </c>
      <c r="L101" s="1020"/>
      <c r="M101" s="1019">
        <f>57.5+39</f>
        <v>96.5</v>
      </c>
      <c r="N101" s="1020"/>
      <c r="O101" s="1021"/>
      <c r="P101" s="1022"/>
      <c r="Q101" s="1023"/>
      <c r="R101" s="1019">
        <f t="shared" si="20"/>
        <v>0</v>
      </c>
      <c r="S101" s="1024"/>
      <c r="T101" s="1020"/>
    </row>
    <row r="102" spans="1:28" s="865" customFormat="1" ht="15" customHeight="1">
      <c r="A102" s="864"/>
      <c r="B102" s="1016" t="s">
        <v>1881</v>
      </c>
      <c r="C102" s="1017"/>
      <c r="D102" s="1017"/>
      <c r="E102" s="1017"/>
      <c r="F102" s="1017"/>
      <c r="G102" s="1017"/>
      <c r="H102" s="1017"/>
      <c r="I102" s="1017"/>
      <c r="J102" s="1018"/>
      <c r="K102" s="1019" t="s">
        <v>1194</v>
      </c>
      <c r="L102" s="1020"/>
      <c r="M102" s="1019">
        <f>16.5+8+42</f>
        <v>66.5</v>
      </c>
      <c r="N102" s="1020"/>
      <c r="O102" s="1021"/>
      <c r="P102" s="1022"/>
      <c r="Q102" s="1023"/>
      <c r="R102" s="1019">
        <f t="shared" si="20"/>
        <v>0</v>
      </c>
      <c r="S102" s="1024"/>
      <c r="T102" s="1020"/>
    </row>
    <row r="103" spans="1:28" s="865" customFormat="1" ht="69.75" customHeight="1">
      <c r="A103" s="864">
        <v>2</v>
      </c>
      <c r="B103" s="1016" t="s">
        <v>1213</v>
      </c>
      <c r="C103" s="1017"/>
      <c r="D103" s="1017"/>
      <c r="E103" s="1017"/>
      <c r="F103" s="1017"/>
      <c r="G103" s="1017"/>
      <c r="H103" s="1017"/>
      <c r="I103" s="1017"/>
      <c r="J103" s="1018"/>
      <c r="K103" s="1019" t="s">
        <v>24</v>
      </c>
      <c r="L103" s="1020"/>
      <c r="M103" s="1019">
        <v>4</v>
      </c>
      <c r="N103" s="1020"/>
      <c r="O103" s="1021"/>
      <c r="P103" s="1022"/>
      <c r="Q103" s="1023"/>
      <c r="R103" s="1019">
        <f t="shared" si="20"/>
        <v>0</v>
      </c>
      <c r="S103" s="1024"/>
      <c r="T103" s="1020"/>
    </row>
    <row r="104" spans="1:28" s="865" customFormat="1" ht="93.75" customHeight="1">
      <c r="A104" s="864">
        <v>3</v>
      </c>
      <c r="B104" s="1016" t="s">
        <v>1214</v>
      </c>
      <c r="C104" s="1017"/>
      <c r="D104" s="1017"/>
      <c r="E104" s="1017"/>
      <c r="F104" s="1017"/>
      <c r="G104" s="1017"/>
      <c r="H104" s="1017"/>
      <c r="I104" s="1017"/>
      <c r="J104" s="1018"/>
      <c r="K104" s="1019" t="s">
        <v>1179</v>
      </c>
      <c r="L104" s="1020"/>
      <c r="M104" s="1019">
        <v>4</v>
      </c>
      <c r="N104" s="1020"/>
      <c r="O104" s="1021">
        <v>345</v>
      </c>
      <c r="P104" s="1022"/>
      <c r="Q104" s="1023"/>
      <c r="R104" s="1019">
        <f t="shared" si="20"/>
        <v>1380</v>
      </c>
      <c r="S104" s="1024"/>
      <c r="T104" s="1020"/>
    </row>
    <row r="105" spans="1:28" s="865" customFormat="1" ht="227.25" customHeight="1">
      <c r="A105" s="864">
        <v>4</v>
      </c>
      <c r="B105" s="1016" t="s">
        <v>1215</v>
      </c>
      <c r="C105" s="1017"/>
      <c r="D105" s="1017"/>
      <c r="E105" s="1017"/>
      <c r="F105" s="1017"/>
      <c r="G105" s="1017"/>
      <c r="H105" s="1017"/>
      <c r="I105" s="1017"/>
      <c r="J105" s="1018"/>
      <c r="K105" s="1019" t="s">
        <v>1179</v>
      </c>
      <c r="L105" s="1020"/>
      <c r="M105" s="1019">
        <v>1</v>
      </c>
      <c r="N105" s="1020"/>
      <c r="O105" s="1021"/>
      <c r="P105" s="1022"/>
      <c r="Q105" s="1023"/>
      <c r="R105" s="1019">
        <f t="shared" si="20"/>
        <v>0</v>
      </c>
      <c r="S105" s="1024"/>
      <c r="T105" s="1020"/>
    </row>
    <row r="106" spans="1:28" s="865" customFormat="1" ht="39.75" customHeight="1">
      <c r="A106" s="864">
        <v>5</v>
      </c>
      <c r="B106" s="1016" t="s">
        <v>1216</v>
      </c>
      <c r="C106" s="1017"/>
      <c r="D106" s="1017"/>
      <c r="E106" s="1017"/>
      <c r="F106" s="1017"/>
      <c r="G106" s="1017"/>
      <c r="H106" s="1017"/>
      <c r="I106" s="1017"/>
      <c r="J106" s="1018"/>
      <c r="K106" s="1019" t="s">
        <v>1179</v>
      </c>
      <c r="L106" s="1020"/>
      <c r="M106" s="1019">
        <v>1</v>
      </c>
      <c r="N106" s="1020"/>
      <c r="O106" s="1021"/>
      <c r="P106" s="1022"/>
      <c r="Q106" s="1023"/>
      <c r="R106" s="1019">
        <f t="shared" si="20"/>
        <v>0</v>
      </c>
      <c r="S106" s="1024"/>
      <c r="T106" s="1020"/>
    </row>
    <row r="107" spans="1:28" s="867" customFormat="1" ht="11.65">
      <c r="A107" s="866"/>
      <c r="B107" s="1041"/>
      <c r="C107" s="1042"/>
      <c r="D107" s="1042"/>
      <c r="E107" s="1042"/>
      <c r="F107" s="1042"/>
      <c r="G107" s="1042"/>
      <c r="H107" s="1042"/>
      <c r="I107" s="1042"/>
      <c r="J107" s="1043"/>
      <c r="K107" s="1044"/>
      <c r="L107" s="1045"/>
      <c r="M107" s="1044"/>
      <c r="N107" s="1045"/>
      <c r="O107" s="1044"/>
      <c r="P107" s="1046"/>
      <c r="Q107" s="1045"/>
      <c r="R107" s="1044"/>
      <c r="S107" s="1046"/>
      <c r="T107" s="1045"/>
    </row>
    <row r="108" spans="1:28" ht="13.15">
      <c r="A108" s="879"/>
      <c r="B108" s="1047" t="s">
        <v>1189</v>
      </c>
      <c r="C108" s="1054"/>
      <c r="D108" s="1054"/>
      <c r="E108" s="1054"/>
      <c r="F108" s="1054"/>
      <c r="G108" s="1054"/>
      <c r="H108" s="1054"/>
      <c r="I108" s="1054"/>
      <c r="J108" s="1055"/>
      <c r="K108" s="1050">
        <f>IF(SUM(R97:T107)=0," ",SUM(R97:T107))</f>
        <v>1380</v>
      </c>
      <c r="L108" s="1051"/>
      <c r="M108" s="1051"/>
      <c r="N108" s="1051"/>
      <c r="O108" s="1051"/>
      <c r="P108" s="1051"/>
      <c r="Q108" s="1051"/>
      <c r="R108" s="1051"/>
      <c r="S108" s="1051"/>
      <c r="T108" s="1052"/>
      <c r="V108" s="880"/>
      <c r="W108" s="880"/>
      <c r="X108" s="880"/>
      <c r="Y108" s="880"/>
      <c r="Z108" s="880"/>
      <c r="AA108" s="880"/>
      <c r="AB108" s="880"/>
    </row>
    <row r="109" spans="1:28" ht="20.25" customHeight="1">
      <c r="A109" s="840" t="s">
        <v>1217</v>
      </c>
      <c r="B109" s="841" t="s">
        <v>1218</v>
      </c>
      <c r="C109" s="842"/>
      <c r="D109" s="842"/>
      <c r="E109" s="842"/>
      <c r="F109" s="842"/>
      <c r="G109" s="842"/>
      <c r="H109" s="842"/>
      <c r="I109" s="842"/>
      <c r="J109" s="842"/>
      <c r="K109" s="843"/>
      <c r="L109" s="843"/>
      <c r="M109" s="843"/>
      <c r="N109" s="843"/>
      <c r="O109" s="843"/>
      <c r="P109" s="843"/>
      <c r="Q109" s="844"/>
      <c r="R109" s="844"/>
      <c r="S109" s="844"/>
      <c r="T109" s="845"/>
    </row>
    <row r="110" spans="1:28" ht="10.5" customHeight="1">
      <c r="A110" s="833"/>
      <c r="B110" s="836"/>
      <c r="J110" s="835"/>
      <c r="K110" s="856"/>
      <c r="L110" s="857"/>
      <c r="M110" s="856"/>
      <c r="N110" s="857"/>
      <c r="O110" s="856"/>
      <c r="P110" s="858"/>
      <c r="Q110" s="859"/>
      <c r="R110" s="860"/>
      <c r="S110" s="861"/>
      <c r="T110" s="862"/>
      <c r="U110" s="863"/>
    </row>
    <row r="111" spans="1:28" s="865" customFormat="1" ht="174.75" customHeight="1">
      <c r="A111" s="864">
        <v>1</v>
      </c>
      <c r="B111" s="1016" t="s">
        <v>1219</v>
      </c>
      <c r="C111" s="1017"/>
      <c r="D111" s="1017"/>
      <c r="E111" s="1017"/>
      <c r="F111" s="1017"/>
      <c r="G111" s="1017"/>
      <c r="H111" s="1017"/>
      <c r="I111" s="1017"/>
      <c r="J111" s="1018"/>
      <c r="K111" s="1019" t="s">
        <v>1179</v>
      </c>
      <c r="L111" s="1020"/>
      <c r="M111" s="1019">
        <v>10</v>
      </c>
      <c r="N111" s="1020"/>
      <c r="O111" s="1021"/>
      <c r="P111" s="1022"/>
      <c r="Q111" s="1023"/>
      <c r="R111" s="1019">
        <f t="shared" ref="R111" si="21">M111*O111</f>
        <v>0</v>
      </c>
      <c r="S111" s="1024"/>
      <c r="T111" s="1020"/>
    </row>
    <row r="112" spans="1:28" s="865" customFormat="1" ht="217.5" customHeight="1">
      <c r="A112" s="864">
        <v>2</v>
      </c>
      <c r="B112" s="1016" t="s">
        <v>1220</v>
      </c>
      <c r="C112" s="1017"/>
      <c r="D112" s="1017"/>
      <c r="E112" s="1017"/>
      <c r="F112" s="1017"/>
      <c r="G112" s="1017"/>
      <c r="H112" s="1017"/>
      <c r="I112" s="1017"/>
      <c r="J112" s="1018"/>
      <c r="K112" s="1019" t="s">
        <v>1179</v>
      </c>
      <c r="L112" s="1020"/>
      <c r="M112" s="1019">
        <v>4</v>
      </c>
      <c r="N112" s="1020"/>
      <c r="O112" s="1021"/>
      <c r="P112" s="1022"/>
      <c r="Q112" s="1023"/>
      <c r="R112" s="1019">
        <f t="shared" ref="R112:R116" si="22">M112*O112</f>
        <v>0</v>
      </c>
      <c r="S112" s="1024"/>
      <c r="T112" s="1020"/>
    </row>
    <row r="113" spans="1:28" s="865" customFormat="1" ht="168" customHeight="1">
      <c r="A113" s="864">
        <v>3</v>
      </c>
      <c r="B113" s="1016" t="s">
        <v>1221</v>
      </c>
      <c r="C113" s="1017"/>
      <c r="D113" s="1017"/>
      <c r="E113" s="1017"/>
      <c r="F113" s="1017"/>
      <c r="G113" s="1017"/>
      <c r="H113" s="1017"/>
      <c r="I113" s="1017"/>
      <c r="J113" s="1018"/>
      <c r="K113" s="1019" t="s">
        <v>1179</v>
      </c>
      <c r="L113" s="1020"/>
      <c r="M113" s="1019">
        <v>16</v>
      </c>
      <c r="N113" s="1020"/>
      <c r="O113" s="1021"/>
      <c r="P113" s="1022"/>
      <c r="Q113" s="1023"/>
      <c r="R113" s="1019">
        <f t="shared" si="22"/>
        <v>0</v>
      </c>
      <c r="S113" s="1024"/>
      <c r="T113" s="1020"/>
    </row>
    <row r="114" spans="1:28" s="880" customFormat="1" ht="190.5" customHeight="1">
      <c r="A114" s="864">
        <v>4</v>
      </c>
      <c r="B114" s="1017" t="s">
        <v>1222</v>
      </c>
      <c r="C114" s="1017"/>
      <c r="D114" s="1017"/>
      <c r="E114" s="1017"/>
      <c r="F114" s="1017"/>
      <c r="G114" s="1017"/>
      <c r="H114" s="1017"/>
      <c r="I114" s="1017"/>
      <c r="J114" s="1017"/>
      <c r="K114" s="1019" t="s">
        <v>24</v>
      </c>
      <c r="L114" s="1020"/>
      <c r="M114" s="1019">
        <v>4</v>
      </c>
      <c r="N114" s="1020"/>
      <c r="O114" s="1021"/>
      <c r="P114" s="1022"/>
      <c r="Q114" s="1023"/>
      <c r="R114" s="1019">
        <f t="shared" si="22"/>
        <v>0</v>
      </c>
      <c r="S114" s="1024"/>
      <c r="T114" s="1020"/>
    </row>
    <row r="115" spans="1:28" s="865" customFormat="1" ht="67.5" customHeight="1">
      <c r="A115" s="864">
        <v>5</v>
      </c>
      <c r="B115" s="1016" t="s">
        <v>1223</v>
      </c>
      <c r="C115" s="1017"/>
      <c r="D115" s="1017"/>
      <c r="E115" s="1017"/>
      <c r="F115" s="1017"/>
      <c r="G115" s="1017"/>
      <c r="H115" s="1017"/>
      <c r="I115" s="1017"/>
      <c r="J115" s="1018"/>
      <c r="K115" s="1019" t="s">
        <v>1179</v>
      </c>
      <c r="L115" s="1020"/>
      <c r="M115" s="1019">
        <v>8</v>
      </c>
      <c r="N115" s="1020"/>
      <c r="O115" s="1021"/>
      <c r="P115" s="1022"/>
      <c r="Q115" s="1023"/>
      <c r="R115" s="1019">
        <f t="shared" si="22"/>
        <v>0</v>
      </c>
      <c r="S115" s="1024"/>
      <c r="T115" s="1020"/>
    </row>
    <row r="116" spans="1:28" s="865" customFormat="1" ht="74.25" customHeight="1">
      <c r="A116" s="864">
        <v>6</v>
      </c>
      <c r="B116" s="1016" t="s">
        <v>1224</v>
      </c>
      <c r="C116" s="1017"/>
      <c r="D116" s="1017"/>
      <c r="E116" s="1017"/>
      <c r="F116" s="1017"/>
      <c r="G116" s="1017"/>
      <c r="H116" s="1017"/>
      <c r="I116" s="1017"/>
      <c r="J116" s="1018"/>
      <c r="K116" s="1019" t="s">
        <v>1179</v>
      </c>
      <c r="L116" s="1020"/>
      <c r="M116" s="1019">
        <v>2</v>
      </c>
      <c r="N116" s="1020"/>
      <c r="O116" s="1021"/>
      <c r="P116" s="1022"/>
      <c r="Q116" s="1023"/>
      <c r="R116" s="1019">
        <f t="shared" si="22"/>
        <v>0</v>
      </c>
      <c r="S116" s="1024"/>
      <c r="T116" s="1020"/>
    </row>
    <row r="117" spans="1:28" s="865" customFormat="1" ht="74.25" customHeight="1">
      <c r="A117" s="864">
        <v>7</v>
      </c>
      <c r="B117" s="1016" t="s">
        <v>1225</v>
      </c>
      <c r="C117" s="1017"/>
      <c r="D117" s="1017"/>
      <c r="E117" s="1017"/>
      <c r="F117" s="1017"/>
      <c r="G117" s="1017"/>
      <c r="H117" s="1017"/>
      <c r="I117" s="1017"/>
      <c r="J117" s="1018"/>
      <c r="K117" s="1019" t="s">
        <v>1179</v>
      </c>
      <c r="L117" s="1020"/>
      <c r="M117" s="1019">
        <v>1</v>
      </c>
      <c r="N117" s="1020"/>
      <c r="O117" s="1021"/>
      <c r="P117" s="1022"/>
      <c r="Q117" s="1023"/>
      <c r="R117" s="1019">
        <f t="shared" ref="R117" si="23">M117*O117</f>
        <v>0</v>
      </c>
      <c r="S117" s="1024"/>
      <c r="T117" s="1020"/>
    </row>
    <row r="118" spans="1:28" s="865" customFormat="1" ht="74.25" customHeight="1">
      <c r="A118" s="864">
        <v>8</v>
      </c>
      <c r="B118" s="1016" t="s">
        <v>1226</v>
      </c>
      <c r="C118" s="1017"/>
      <c r="D118" s="1017"/>
      <c r="E118" s="1017"/>
      <c r="F118" s="1017"/>
      <c r="G118" s="1017"/>
      <c r="H118" s="1017"/>
      <c r="I118" s="1017"/>
      <c r="J118" s="1018"/>
      <c r="K118" s="1019" t="s">
        <v>1179</v>
      </c>
      <c r="L118" s="1020"/>
      <c r="M118" s="1019">
        <v>3</v>
      </c>
      <c r="N118" s="1020"/>
      <c r="O118" s="1021"/>
      <c r="P118" s="1022"/>
      <c r="Q118" s="1023"/>
      <c r="R118" s="1019">
        <f t="shared" ref="R118" si="24">M118*O118</f>
        <v>0</v>
      </c>
      <c r="S118" s="1024"/>
      <c r="T118" s="1020"/>
    </row>
    <row r="119" spans="1:28" s="865" customFormat="1" ht="51.75" customHeight="1">
      <c r="A119" s="864">
        <v>9</v>
      </c>
      <c r="B119" s="1016" t="s">
        <v>1227</v>
      </c>
      <c r="C119" s="1017"/>
      <c r="D119" s="1017"/>
      <c r="E119" s="1017"/>
      <c r="F119" s="1017"/>
      <c r="G119" s="1017"/>
      <c r="H119" s="1017"/>
      <c r="I119" s="1017"/>
      <c r="J119" s="1018"/>
      <c r="K119" s="1019"/>
      <c r="L119" s="1020"/>
      <c r="M119" s="1019"/>
      <c r="N119" s="1020"/>
      <c r="O119" s="1019"/>
      <c r="P119" s="1024"/>
      <c r="Q119" s="1020"/>
      <c r="R119" s="1019"/>
      <c r="S119" s="1024"/>
      <c r="T119" s="1020"/>
    </row>
    <row r="120" spans="1:28" s="865" customFormat="1" ht="15" customHeight="1">
      <c r="A120" s="864"/>
      <c r="B120" s="1016" t="s">
        <v>1882</v>
      </c>
      <c r="C120" s="1017"/>
      <c r="D120" s="1017"/>
      <c r="E120" s="1017"/>
      <c r="F120" s="1017"/>
      <c r="G120" s="1017"/>
      <c r="H120" s="1017"/>
      <c r="I120" s="1017"/>
      <c r="J120" s="1018"/>
      <c r="K120" s="1019" t="s">
        <v>24</v>
      </c>
      <c r="L120" s="1020"/>
      <c r="M120" s="1019">
        <v>14</v>
      </c>
      <c r="N120" s="1020"/>
      <c r="O120" s="1021"/>
      <c r="P120" s="1022"/>
      <c r="Q120" s="1023"/>
      <c r="R120" s="1019">
        <f t="shared" ref="R120" si="25">M120*O120</f>
        <v>0</v>
      </c>
      <c r="S120" s="1024"/>
      <c r="T120" s="1020"/>
    </row>
    <row r="121" spans="1:28" s="865" customFormat="1" ht="15" customHeight="1">
      <c r="A121" s="864"/>
      <c r="B121" s="1016" t="s">
        <v>1883</v>
      </c>
      <c r="C121" s="1017"/>
      <c r="D121" s="1017"/>
      <c r="E121" s="1017"/>
      <c r="F121" s="1017"/>
      <c r="G121" s="1017"/>
      <c r="H121" s="1017"/>
      <c r="I121" s="1017"/>
      <c r="J121" s="1018"/>
      <c r="K121" s="1019" t="s">
        <v>24</v>
      </c>
      <c r="L121" s="1020"/>
      <c r="M121" s="1019">
        <v>14</v>
      </c>
      <c r="N121" s="1020"/>
      <c r="O121" s="1021"/>
      <c r="P121" s="1022"/>
      <c r="Q121" s="1023"/>
      <c r="R121" s="1019">
        <f t="shared" ref="R121:R125" si="26">M121*O121</f>
        <v>0</v>
      </c>
      <c r="S121" s="1024"/>
      <c r="T121" s="1020"/>
    </row>
    <row r="122" spans="1:28" s="865" customFormat="1" ht="15" customHeight="1">
      <c r="A122" s="864"/>
      <c r="B122" s="1016" t="s">
        <v>1884</v>
      </c>
      <c r="C122" s="1017"/>
      <c r="D122" s="1017"/>
      <c r="E122" s="1017"/>
      <c r="F122" s="1017"/>
      <c r="G122" s="1017"/>
      <c r="H122" s="1017"/>
      <c r="I122" s="1017"/>
      <c r="J122" s="1018"/>
      <c r="K122" s="1019" t="s">
        <v>24</v>
      </c>
      <c r="L122" s="1020"/>
      <c r="M122" s="1019">
        <v>20</v>
      </c>
      <c r="N122" s="1020"/>
      <c r="O122" s="1021"/>
      <c r="P122" s="1022"/>
      <c r="Q122" s="1023"/>
      <c r="R122" s="1019">
        <f t="shared" si="26"/>
        <v>0</v>
      </c>
      <c r="S122" s="1024"/>
      <c r="T122" s="1020"/>
    </row>
    <row r="123" spans="1:28" s="865" customFormat="1" ht="15" customHeight="1">
      <c r="A123" s="864"/>
      <c r="B123" s="1016" t="s">
        <v>1885</v>
      </c>
      <c r="C123" s="1017"/>
      <c r="D123" s="1017"/>
      <c r="E123" s="1017"/>
      <c r="F123" s="1017"/>
      <c r="G123" s="1017"/>
      <c r="H123" s="1017"/>
      <c r="I123" s="1017"/>
      <c r="J123" s="1018"/>
      <c r="K123" s="1019" t="s">
        <v>24</v>
      </c>
      <c r="L123" s="1020"/>
      <c r="M123" s="1019">
        <v>20</v>
      </c>
      <c r="N123" s="1020"/>
      <c r="O123" s="1021"/>
      <c r="P123" s="1022"/>
      <c r="Q123" s="1023"/>
      <c r="R123" s="1019">
        <f t="shared" si="26"/>
        <v>0</v>
      </c>
      <c r="S123" s="1024"/>
      <c r="T123" s="1020"/>
    </row>
    <row r="124" spans="1:28" s="865" customFormat="1" ht="74.25" customHeight="1">
      <c r="A124" s="864">
        <v>10</v>
      </c>
      <c r="B124" s="1016" t="s">
        <v>1228</v>
      </c>
      <c r="C124" s="1017"/>
      <c r="D124" s="1017"/>
      <c r="E124" s="1017"/>
      <c r="F124" s="1017"/>
      <c r="G124" s="1017"/>
      <c r="H124" s="1017"/>
      <c r="I124" s="1017"/>
      <c r="J124" s="1018"/>
      <c r="K124" s="1019" t="s">
        <v>24</v>
      </c>
      <c r="L124" s="1020"/>
      <c r="M124" s="1019">
        <v>10</v>
      </c>
      <c r="N124" s="1020"/>
      <c r="O124" s="1021"/>
      <c r="P124" s="1022"/>
      <c r="Q124" s="1023"/>
      <c r="R124" s="1019">
        <f t="shared" si="26"/>
        <v>0</v>
      </c>
      <c r="S124" s="1024"/>
      <c r="T124" s="1020"/>
    </row>
    <row r="125" spans="1:28" s="865" customFormat="1" ht="54" customHeight="1">
      <c r="A125" s="864">
        <v>11</v>
      </c>
      <c r="B125" s="1016" t="s">
        <v>1229</v>
      </c>
      <c r="C125" s="1017"/>
      <c r="D125" s="1017"/>
      <c r="E125" s="1017"/>
      <c r="F125" s="1017"/>
      <c r="G125" s="1017"/>
      <c r="H125" s="1017"/>
      <c r="I125" s="1017"/>
      <c r="J125" s="1018"/>
      <c r="K125" s="1019" t="s">
        <v>24</v>
      </c>
      <c r="L125" s="1020"/>
      <c r="M125" s="1019">
        <v>4</v>
      </c>
      <c r="N125" s="1020"/>
      <c r="O125" s="1021"/>
      <c r="P125" s="1022"/>
      <c r="Q125" s="1023"/>
      <c r="R125" s="1019">
        <f t="shared" si="26"/>
        <v>0</v>
      </c>
      <c r="S125" s="1024"/>
      <c r="T125" s="1020"/>
    </row>
    <row r="126" spans="1:28" s="867" customFormat="1" ht="11.65">
      <c r="A126" s="866"/>
      <c r="B126" s="1041"/>
      <c r="C126" s="1042"/>
      <c r="D126" s="1042"/>
      <c r="E126" s="1042"/>
      <c r="F126" s="1042"/>
      <c r="G126" s="1042"/>
      <c r="H126" s="1042"/>
      <c r="I126" s="1042"/>
      <c r="J126" s="1043"/>
      <c r="K126" s="1044"/>
      <c r="L126" s="1045"/>
      <c r="M126" s="1044"/>
      <c r="N126" s="1045"/>
      <c r="O126" s="1044"/>
      <c r="P126" s="1046"/>
      <c r="Q126" s="1045"/>
      <c r="R126" s="1044"/>
      <c r="S126" s="1046"/>
      <c r="T126" s="1045"/>
    </row>
    <row r="127" spans="1:28" ht="13.15">
      <c r="A127" s="879"/>
      <c r="B127" s="1047" t="s">
        <v>1189</v>
      </c>
      <c r="C127" s="1054"/>
      <c r="D127" s="1054"/>
      <c r="E127" s="1054"/>
      <c r="F127" s="1054"/>
      <c r="G127" s="1054"/>
      <c r="H127" s="1054"/>
      <c r="I127" s="1054"/>
      <c r="J127" s="1055"/>
      <c r="K127" s="1050" t="str">
        <f>IF(SUM(R111:T126)=0," ",SUM(R111:T126))</f>
        <v xml:space="preserve"> </v>
      </c>
      <c r="L127" s="1051"/>
      <c r="M127" s="1051"/>
      <c r="N127" s="1051"/>
      <c r="O127" s="1051"/>
      <c r="P127" s="1051"/>
      <c r="Q127" s="1051"/>
      <c r="R127" s="1051"/>
      <c r="S127" s="1051"/>
      <c r="T127" s="1052"/>
      <c r="V127" s="880"/>
      <c r="W127" s="880"/>
      <c r="X127" s="880"/>
      <c r="Y127" s="880"/>
      <c r="Z127" s="880"/>
      <c r="AA127" s="880"/>
      <c r="AB127" s="880"/>
    </row>
    <row r="128" spans="1:28" ht="20.25" customHeight="1">
      <c r="A128" s="840" t="s">
        <v>1230</v>
      </c>
      <c r="B128" s="841" t="s">
        <v>1231</v>
      </c>
      <c r="C128" s="842"/>
      <c r="D128" s="842"/>
      <c r="E128" s="842"/>
      <c r="F128" s="842"/>
      <c r="G128" s="842"/>
      <c r="H128" s="842"/>
      <c r="I128" s="842"/>
      <c r="J128" s="842"/>
      <c r="K128" s="843"/>
      <c r="L128" s="843"/>
      <c r="M128" s="843"/>
      <c r="N128" s="843"/>
      <c r="O128" s="843"/>
      <c r="P128" s="843"/>
      <c r="Q128" s="844"/>
      <c r="R128" s="844"/>
      <c r="S128" s="844"/>
      <c r="T128" s="845"/>
    </row>
    <row r="129" spans="1:20" ht="15" customHeight="1">
      <c r="A129" s="833"/>
      <c r="B129" s="834"/>
      <c r="J129" s="835"/>
      <c r="K129" s="836"/>
      <c r="L129" s="835"/>
      <c r="M129" s="836"/>
      <c r="N129" s="835"/>
      <c r="O129" s="836"/>
      <c r="Q129" s="837"/>
      <c r="R129" s="838"/>
      <c r="S129" s="839"/>
      <c r="T129" s="837"/>
    </row>
    <row r="130" spans="1:20" s="880" customFormat="1" ht="45" customHeight="1">
      <c r="A130" s="864">
        <v>1</v>
      </c>
      <c r="B130" s="1016" t="s">
        <v>1232</v>
      </c>
      <c r="C130" s="1017"/>
      <c r="D130" s="1017"/>
      <c r="E130" s="1017"/>
      <c r="F130" s="1017"/>
      <c r="G130" s="1017"/>
      <c r="H130" s="1017"/>
      <c r="I130" s="1017"/>
      <c r="J130" s="1018"/>
      <c r="K130" s="1019" t="s">
        <v>24</v>
      </c>
      <c r="L130" s="1020"/>
      <c r="M130" s="1019">
        <v>7</v>
      </c>
      <c r="N130" s="1020"/>
      <c r="O130" s="1021"/>
      <c r="P130" s="1022"/>
      <c r="Q130" s="1023"/>
      <c r="R130" s="1019">
        <f t="shared" ref="R130" si="27">M130*O130</f>
        <v>0</v>
      </c>
      <c r="S130" s="1024"/>
      <c r="T130" s="1020"/>
    </row>
    <row r="131" spans="1:20" s="880" customFormat="1" ht="45" customHeight="1">
      <c r="A131" s="864">
        <v>2</v>
      </c>
      <c r="B131" s="1016" t="s">
        <v>1233</v>
      </c>
      <c r="C131" s="1017"/>
      <c r="D131" s="1017"/>
      <c r="E131" s="1017"/>
      <c r="F131" s="1017"/>
      <c r="G131" s="1017"/>
      <c r="H131" s="1017"/>
      <c r="I131" s="1017"/>
      <c r="J131" s="1018"/>
      <c r="K131" s="1019" t="s">
        <v>24</v>
      </c>
      <c r="L131" s="1020"/>
      <c r="M131" s="1019">
        <v>7</v>
      </c>
      <c r="N131" s="1020"/>
      <c r="O131" s="1021"/>
      <c r="P131" s="1022"/>
      <c r="Q131" s="1023"/>
      <c r="R131" s="1019">
        <f t="shared" ref="R131:R134" si="28">M131*O131</f>
        <v>0</v>
      </c>
      <c r="S131" s="1024"/>
      <c r="T131" s="1020"/>
    </row>
    <row r="132" spans="1:20" s="865" customFormat="1" ht="103.5" customHeight="1">
      <c r="A132" s="864">
        <v>3</v>
      </c>
      <c r="B132" s="1016" t="s">
        <v>1234</v>
      </c>
      <c r="C132" s="1017"/>
      <c r="D132" s="1017"/>
      <c r="E132" s="1017"/>
      <c r="F132" s="1017"/>
      <c r="G132" s="1017"/>
      <c r="H132" s="1017"/>
      <c r="I132" s="1017"/>
      <c r="J132" s="1018"/>
      <c r="K132" s="1019" t="s">
        <v>1179</v>
      </c>
      <c r="L132" s="1020"/>
      <c r="M132" s="1019">
        <v>9</v>
      </c>
      <c r="N132" s="1020"/>
      <c r="O132" s="1021"/>
      <c r="P132" s="1022"/>
      <c r="Q132" s="1023"/>
      <c r="R132" s="1019">
        <f t="shared" si="28"/>
        <v>0</v>
      </c>
      <c r="S132" s="1024"/>
      <c r="T132" s="1020"/>
    </row>
    <row r="133" spans="1:20" s="865" customFormat="1" ht="148.5" customHeight="1">
      <c r="A133" s="864">
        <v>4</v>
      </c>
      <c r="B133" s="1016" t="s">
        <v>1235</v>
      </c>
      <c r="C133" s="1017"/>
      <c r="D133" s="1017"/>
      <c r="E133" s="1017"/>
      <c r="F133" s="1017"/>
      <c r="G133" s="1017"/>
      <c r="H133" s="1017"/>
      <c r="I133" s="1017"/>
      <c r="J133" s="1018"/>
      <c r="K133" s="1019" t="s">
        <v>1179</v>
      </c>
      <c r="L133" s="1020"/>
      <c r="M133" s="1019">
        <v>2</v>
      </c>
      <c r="N133" s="1020"/>
      <c r="O133" s="1021"/>
      <c r="P133" s="1022"/>
      <c r="Q133" s="1023"/>
      <c r="R133" s="1019">
        <f t="shared" si="28"/>
        <v>0</v>
      </c>
      <c r="S133" s="1024"/>
      <c r="T133" s="1020"/>
    </row>
    <row r="134" spans="1:20" s="865" customFormat="1" ht="96" customHeight="1">
      <c r="A134" s="864">
        <v>5</v>
      </c>
      <c r="B134" s="1056" t="s">
        <v>1236</v>
      </c>
      <c r="C134" s="1017"/>
      <c r="D134" s="1017"/>
      <c r="E134" s="1017"/>
      <c r="F134" s="1017"/>
      <c r="G134" s="1017"/>
      <c r="H134" s="1017"/>
      <c r="I134" s="1017"/>
      <c r="J134" s="1018"/>
      <c r="K134" s="1019" t="s">
        <v>1179</v>
      </c>
      <c r="L134" s="1020"/>
      <c r="M134" s="1019">
        <v>1</v>
      </c>
      <c r="N134" s="1020"/>
      <c r="O134" s="1021"/>
      <c r="P134" s="1022"/>
      <c r="Q134" s="1023"/>
      <c r="R134" s="1019">
        <f t="shared" si="28"/>
        <v>0</v>
      </c>
      <c r="S134" s="1024"/>
      <c r="T134" s="1020"/>
    </row>
    <row r="135" spans="1:20" s="867" customFormat="1" ht="11.65">
      <c r="A135" s="866"/>
      <c r="B135" s="1041"/>
      <c r="C135" s="1042"/>
      <c r="D135" s="1042"/>
      <c r="E135" s="1042"/>
      <c r="F135" s="1042"/>
      <c r="G135" s="1042"/>
      <c r="H135" s="1042"/>
      <c r="I135" s="1042"/>
      <c r="J135" s="1043"/>
      <c r="K135" s="1044"/>
      <c r="L135" s="1045"/>
      <c r="M135" s="1044"/>
      <c r="N135" s="1045"/>
      <c r="O135" s="1044"/>
      <c r="P135" s="1046"/>
      <c r="Q135" s="1045"/>
      <c r="R135" s="1044"/>
      <c r="S135" s="1046"/>
      <c r="T135" s="1045"/>
    </row>
    <row r="136" spans="1:20" ht="11.65">
      <c r="A136" s="868"/>
      <c r="B136" s="1047" t="s">
        <v>1189</v>
      </c>
      <c r="C136" s="1048"/>
      <c r="D136" s="1048"/>
      <c r="E136" s="1048"/>
      <c r="F136" s="1048"/>
      <c r="G136" s="1048"/>
      <c r="H136" s="1048"/>
      <c r="I136" s="1048"/>
      <c r="J136" s="1049"/>
      <c r="K136" s="1050" t="str">
        <f>IF(SUM(R130:T135)=0," ",SUM(R130:T135))</f>
        <v xml:space="preserve"> </v>
      </c>
      <c r="L136" s="1051"/>
      <c r="M136" s="1051"/>
      <c r="N136" s="1051"/>
      <c r="O136" s="1051"/>
      <c r="P136" s="1051"/>
      <c r="Q136" s="1051"/>
      <c r="R136" s="1051"/>
      <c r="S136" s="1051"/>
      <c r="T136" s="1052"/>
    </row>
    <row r="137" spans="1:20" ht="10.5" customHeight="1">
      <c r="A137" s="881"/>
      <c r="B137" s="882"/>
      <c r="C137" s="882"/>
      <c r="D137" s="882"/>
      <c r="E137" s="882"/>
      <c r="F137" s="882"/>
      <c r="G137" s="882"/>
      <c r="H137" s="882"/>
      <c r="I137" s="882"/>
      <c r="J137" s="882"/>
      <c r="K137" s="881"/>
      <c r="L137" s="881"/>
      <c r="M137" s="881"/>
      <c r="N137" s="881"/>
      <c r="O137" s="881"/>
      <c r="P137" s="881"/>
      <c r="Q137" s="881"/>
      <c r="R137" s="881"/>
      <c r="S137" s="881"/>
      <c r="T137" s="881"/>
    </row>
    <row r="138" spans="1:20" ht="10.5" customHeight="1">
      <c r="A138" s="863"/>
      <c r="B138" s="883"/>
      <c r="C138" s="883"/>
      <c r="D138" s="883"/>
      <c r="E138" s="883"/>
      <c r="F138" s="883"/>
      <c r="G138" s="883"/>
      <c r="H138" s="883"/>
      <c r="I138" s="883"/>
      <c r="J138" s="883"/>
      <c r="K138" s="863"/>
      <c r="L138" s="863"/>
      <c r="M138" s="863"/>
      <c r="N138" s="863"/>
      <c r="O138" s="863"/>
      <c r="P138" s="863"/>
      <c r="Q138" s="863"/>
      <c r="R138" s="863"/>
      <c r="S138" s="863"/>
      <c r="T138" s="863"/>
    </row>
    <row r="139" spans="1:20" ht="10.5" customHeight="1">
      <c r="A139" s="863"/>
      <c r="B139" s="883"/>
      <c r="C139" s="883"/>
      <c r="D139" s="883"/>
      <c r="E139" s="883"/>
      <c r="F139" s="883"/>
      <c r="G139" s="883"/>
      <c r="H139" s="883"/>
      <c r="I139" s="883"/>
      <c r="J139" s="883"/>
      <c r="K139" s="863"/>
      <c r="L139" s="863"/>
      <c r="M139" s="863"/>
      <c r="N139" s="863"/>
      <c r="O139" s="863"/>
      <c r="P139" s="863"/>
      <c r="Q139" s="863"/>
      <c r="R139" s="863"/>
      <c r="S139" s="863"/>
      <c r="T139" s="863"/>
    </row>
    <row r="140" spans="1:20" ht="10.5" customHeight="1">
      <c r="A140" s="863"/>
      <c r="Q140" s="839"/>
      <c r="R140" s="839"/>
      <c r="S140" s="839"/>
      <c r="T140" s="839"/>
    </row>
    <row r="141" spans="1:20" ht="15.4" thickBot="1">
      <c r="A141" s="1061" t="s">
        <v>1237</v>
      </c>
      <c r="B141" s="1061"/>
      <c r="C141" s="1061"/>
      <c r="D141" s="1061"/>
      <c r="E141" s="1061"/>
      <c r="F141" s="1061"/>
      <c r="G141" s="1061"/>
      <c r="H141" s="1061"/>
      <c r="I141" s="1061"/>
      <c r="J141" s="1061"/>
      <c r="K141" s="1061"/>
      <c r="L141" s="1061"/>
      <c r="M141" s="1061"/>
      <c r="N141" s="1061"/>
      <c r="O141" s="1061"/>
      <c r="P141" s="1061"/>
      <c r="Q141" s="1061"/>
      <c r="R141" s="1061"/>
      <c r="S141" s="1061"/>
      <c r="T141" s="1061"/>
    </row>
    <row r="142" spans="1:20" ht="12" customHeight="1" thickTop="1">
      <c r="A142" s="863"/>
      <c r="Q142" s="839"/>
      <c r="R142" s="839"/>
      <c r="S142" s="839"/>
      <c r="T142" s="839"/>
    </row>
    <row r="143" spans="1:20" s="865" customFormat="1" ht="12" customHeight="1">
      <c r="A143" s="884" t="s">
        <v>1238</v>
      </c>
      <c r="B143" s="885" t="str">
        <f>+B11</f>
        <v>INSTALACIJA VODOVODA</v>
      </c>
      <c r="C143" s="885"/>
      <c r="D143" s="885"/>
      <c r="E143" s="885"/>
      <c r="F143" s="885"/>
      <c r="G143" s="885"/>
      <c r="H143" s="885"/>
      <c r="I143" s="885"/>
      <c r="J143" s="885"/>
      <c r="L143" s="825"/>
      <c r="M143" s="825"/>
      <c r="N143" s="825"/>
      <c r="S143" s="886"/>
      <c r="T143" s="886"/>
    </row>
    <row r="144" spans="1:20" s="865" customFormat="1" ht="12" customHeight="1">
      <c r="A144" s="887"/>
      <c r="B144" s="888" t="str">
        <f>+A13</f>
        <v>1.</v>
      </c>
      <c r="C144" s="885" t="str">
        <f>+B13</f>
        <v>GRAĐEVINSKI RADOVI</v>
      </c>
      <c r="D144" s="885"/>
      <c r="E144" s="885"/>
      <c r="F144" s="885"/>
      <c r="G144" s="885"/>
      <c r="H144" s="885"/>
      <c r="I144" s="885"/>
      <c r="J144" s="885"/>
      <c r="L144" s="1058" t="str">
        <f>+K27</f>
        <v xml:space="preserve"> </v>
      </c>
      <c r="M144" s="1058"/>
      <c r="N144" s="885" t="s">
        <v>1239</v>
      </c>
      <c r="S144" s="886"/>
      <c r="T144" s="886"/>
    </row>
    <row r="145" spans="1:20" s="865" customFormat="1" ht="12" customHeight="1">
      <c r="A145" s="887"/>
      <c r="B145" s="888" t="str">
        <f>+A29</f>
        <v>2.</v>
      </c>
      <c r="C145" s="885" t="str">
        <f>+B29</f>
        <v>MONTAŽNI RADOVI</v>
      </c>
      <c r="D145" s="885"/>
      <c r="E145" s="885"/>
      <c r="F145" s="885"/>
      <c r="G145" s="885"/>
      <c r="H145" s="885"/>
      <c r="I145" s="885"/>
      <c r="J145" s="885"/>
      <c r="L145" s="1058" t="str">
        <f>+K63</f>
        <v xml:space="preserve"> </v>
      </c>
      <c r="M145" s="1058"/>
      <c r="N145" s="885" t="s">
        <v>1239</v>
      </c>
      <c r="S145" s="886"/>
      <c r="T145" s="886"/>
    </row>
    <row r="146" spans="1:20" s="865" customFormat="1" ht="12" customHeight="1">
      <c r="A146" s="887"/>
      <c r="B146" s="888"/>
      <c r="C146" s="888"/>
      <c r="D146" s="885"/>
      <c r="E146" s="885"/>
      <c r="F146" s="885"/>
      <c r="G146" s="885"/>
      <c r="H146" s="885"/>
      <c r="I146" s="885"/>
      <c r="J146" s="885"/>
      <c r="L146" s="889"/>
      <c r="M146" s="889"/>
      <c r="N146" s="885"/>
      <c r="S146" s="886"/>
      <c r="T146" s="886"/>
    </row>
    <row r="147" spans="1:20" s="865" customFormat="1" ht="12" customHeight="1">
      <c r="A147" s="884" t="s">
        <v>1240</v>
      </c>
      <c r="B147" s="885" t="str">
        <f>+B64</f>
        <v>INSTALACIJA KANALIZACIJE</v>
      </c>
      <c r="C147" s="885"/>
      <c r="D147" s="885"/>
      <c r="E147" s="885"/>
      <c r="F147" s="885"/>
      <c r="G147" s="885"/>
      <c r="H147" s="885"/>
      <c r="I147" s="885"/>
      <c r="J147" s="885"/>
      <c r="L147" s="825"/>
      <c r="M147" s="825"/>
      <c r="N147" s="825"/>
      <c r="S147" s="886"/>
      <c r="T147" s="886"/>
    </row>
    <row r="148" spans="1:20" s="865" customFormat="1" ht="12" customHeight="1">
      <c r="A148" s="887"/>
      <c r="B148" s="888" t="str">
        <f>+A66</f>
        <v>1.</v>
      </c>
      <c r="C148" s="888" t="str">
        <f>+B66</f>
        <v>GRAĐEVINSKI RADOVI</v>
      </c>
      <c r="D148" s="885"/>
      <c r="E148" s="885"/>
      <c r="F148" s="885"/>
      <c r="G148" s="885"/>
      <c r="H148" s="885"/>
      <c r="I148" s="885"/>
      <c r="J148" s="885"/>
      <c r="L148" s="1058" t="str">
        <f>+K93</f>
        <v xml:space="preserve"> </v>
      </c>
      <c r="M148" s="1058"/>
      <c r="N148" s="885" t="s">
        <v>1239</v>
      </c>
      <c r="S148" s="886"/>
      <c r="T148" s="886"/>
    </row>
    <row r="149" spans="1:20" s="865" customFormat="1" ht="12" customHeight="1">
      <c r="A149" s="887"/>
      <c r="B149" s="888" t="str">
        <f>+A95</f>
        <v>2.</v>
      </c>
      <c r="C149" s="888" t="str">
        <f>+B95</f>
        <v>MONTAŽNI RADOVI</v>
      </c>
      <c r="D149" s="885"/>
      <c r="E149" s="885"/>
      <c r="F149" s="885"/>
      <c r="G149" s="885"/>
      <c r="H149" s="885"/>
      <c r="I149" s="885"/>
      <c r="J149" s="885"/>
      <c r="L149" s="1058">
        <f>+K108</f>
        <v>1380</v>
      </c>
      <c r="M149" s="1058"/>
      <c r="N149" s="885" t="s">
        <v>1239</v>
      </c>
      <c r="S149" s="886"/>
      <c r="T149" s="886"/>
    </row>
    <row r="150" spans="1:20" s="865" customFormat="1" ht="12" customHeight="1">
      <c r="A150" s="887"/>
      <c r="B150" s="888"/>
      <c r="C150" s="888"/>
      <c r="D150" s="885"/>
      <c r="E150" s="885"/>
      <c r="F150" s="885"/>
      <c r="G150" s="885"/>
      <c r="H150" s="885"/>
      <c r="I150" s="885"/>
      <c r="J150" s="885"/>
      <c r="L150" s="889"/>
      <c r="M150" s="889"/>
      <c r="N150" s="885"/>
      <c r="S150" s="886"/>
      <c r="T150" s="886"/>
    </row>
    <row r="151" spans="1:20" s="865" customFormat="1" ht="12" customHeight="1">
      <c r="A151" s="884" t="s">
        <v>1241</v>
      </c>
      <c r="B151" s="885" t="str">
        <f>+B109</f>
        <v>SANITARNI UREĐAJI I ELEMENTI</v>
      </c>
      <c r="C151" s="885"/>
      <c r="D151" s="885"/>
      <c r="E151" s="885"/>
      <c r="F151" s="885"/>
      <c r="G151" s="885"/>
      <c r="H151" s="885"/>
      <c r="I151" s="885"/>
      <c r="J151" s="885"/>
      <c r="L151" s="1058" t="str">
        <f>+K127</f>
        <v xml:space="preserve"> </v>
      </c>
      <c r="M151" s="1058"/>
      <c r="N151" s="885" t="s">
        <v>1239</v>
      </c>
      <c r="S151" s="886"/>
      <c r="T151" s="886"/>
    </row>
    <row r="152" spans="1:20" s="865" customFormat="1" ht="12" customHeight="1">
      <c r="A152" s="887"/>
      <c r="B152" s="888"/>
      <c r="C152" s="888"/>
      <c r="D152" s="885"/>
      <c r="E152" s="885"/>
      <c r="F152" s="885"/>
      <c r="G152" s="885"/>
      <c r="H152" s="885"/>
      <c r="I152" s="885"/>
      <c r="J152" s="885"/>
      <c r="L152" s="889"/>
      <c r="M152" s="889"/>
      <c r="N152" s="885"/>
      <c r="S152" s="886"/>
      <c r="T152" s="886"/>
    </row>
    <row r="153" spans="1:20" s="865" customFormat="1" ht="12" customHeight="1">
      <c r="A153" s="884" t="s">
        <v>1242</v>
      </c>
      <c r="B153" s="885" t="str">
        <f>+B128</f>
        <v>ZAŠTITA OD POŽARA</v>
      </c>
      <c r="C153" s="885"/>
      <c r="D153" s="885"/>
      <c r="E153" s="885"/>
      <c r="F153" s="885"/>
      <c r="G153" s="885"/>
      <c r="H153" s="885"/>
      <c r="I153" s="885"/>
      <c r="J153" s="885"/>
      <c r="L153" s="1058" t="str">
        <f>+K136</f>
        <v xml:space="preserve"> </v>
      </c>
      <c r="M153" s="1058"/>
      <c r="N153" s="885" t="s">
        <v>1239</v>
      </c>
      <c r="S153" s="886"/>
      <c r="T153" s="886"/>
    </row>
    <row r="154" spans="1:20" s="865" customFormat="1" ht="12" customHeight="1">
      <c r="A154" s="887"/>
      <c r="B154" s="888"/>
      <c r="C154" s="888"/>
      <c r="D154" s="885"/>
      <c r="E154" s="885"/>
      <c r="F154" s="885"/>
      <c r="G154" s="885"/>
      <c r="H154" s="885"/>
      <c r="I154" s="885"/>
      <c r="J154" s="885"/>
      <c r="L154" s="889"/>
      <c r="M154" s="889"/>
      <c r="N154" s="885"/>
      <c r="S154" s="886"/>
      <c r="T154" s="886"/>
    </row>
    <row r="155" spans="1:20" ht="10.5" customHeight="1">
      <c r="T155" s="890"/>
    </row>
    <row r="156" spans="1:20" ht="10.5" customHeight="1">
      <c r="T156" s="890"/>
    </row>
    <row r="157" spans="1:20" s="891" customFormat="1" ht="15" customHeight="1">
      <c r="B157" s="892" t="s">
        <v>1243</v>
      </c>
      <c r="C157" s="892"/>
      <c r="D157" s="892"/>
      <c r="E157" s="892"/>
      <c r="F157" s="892"/>
      <c r="G157" s="892"/>
      <c r="H157" s="892"/>
      <c r="I157" s="892"/>
      <c r="J157" s="892"/>
      <c r="K157" s="1059">
        <f>SUM(L144:M153)</f>
        <v>1380</v>
      </c>
      <c r="L157" s="1059"/>
      <c r="M157" s="1059"/>
      <c r="N157" s="892" t="s">
        <v>1239</v>
      </c>
      <c r="R157" s="893"/>
    </row>
    <row r="158" spans="1:20" s="891" customFormat="1" ht="11.25" customHeight="1">
      <c r="B158" s="894" t="s">
        <v>1244</v>
      </c>
      <c r="C158" s="894"/>
      <c r="D158" s="894"/>
      <c r="E158" s="894"/>
      <c r="F158" s="894"/>
      <c r="G158" s="894"/>
      <c r="H158" s="894"/>
      <c r="I158" s="894"/>
      <c r="J158" s="894"/>
      <c r="K158" s="1060"/>
      <c r="L158" s="1060"/>
      <c r="M158" s="1060"/>
      <c r="N158" s="894"/>
      <c r="R158" s="893"/>
    </row>
    <row r="159" spans="1:20" s="891" customFormat="1" ht="15" customHeight="1">
      <c r="B159" s="892" t="s">
        <v>1245</v>
      </c>
      <c r="C159" s="892"/>
      <c r="D159" s="892"/>
      <c r="E159" s="892"/>
      <c r="F159" s="892"/>
      <c r="G159" s="892"/>
      <c r="H159" s="892"/>
      <c r="I159" s="892"/>
      <c r="J159" s="892"/>
      <c r="K159" s="1059">
        <f>+K157*0.25</f>
        <v>345</v>
      </c>
      <c r="L159" s="1059"/>
      <c r="M159" s="1059"/>
      <c r="N159" s="892" t="s">
        <v>1239</v>
      </c>
      <c r="R159" s="893"/>
    </row>
    <row r="160" spans="1:20" ht="10.7" customHeight="1">
      <c r="M160" s="858"/>
      <c r="N160" s="858"/>
      <c r="O160" s="858"/>
    </row>
    <row r="161" spans="2:18" ht="10.7" customHeight="1">
      <c r="M161" s="858"/>
      <c r="N161" s="858"/>
      <c r="O161" s="858"/>
    </row>
    <row r="162" spans="2:18" ht="10.7" customHeight="1" thickBot="1">
      <c r="M162" s="858"/>
      <c r="N162" s="858"/>
      <c r="O162" s="858"/>
    </row>
    <row r="163" spans="2:18" ht="23.25" customHeight="1" thickTop="1" thickBot="1">
      <c r="B163" s="895" t="s">
        <v>1246</v>
      </c>
      <c r="C163" s="896"/>
      <c r="D163" s="896"/>
      <c r="E163" s="896"/>
      <c r="F163" s="896"/>
      <c r="G163" s="896"/>
      <c r="H163" s="896"/>
      <c r="I163" s="896"/>
      <c r="J163" s="896"/>
      <c r="K163" s="1057">
        <f>+K157+K159</f>
        <v>1725</v>
      </c>
      <c r="L163" s="1057"/>
      <c r="M163" s="1057"/>
      <c r="N163" s="897" t="s">
        <v>1239</v>
      </c>
      <c r="R163" s="890"/>
    </row>
    <row r="164" spans="2:18" ht="10.7" customHeight="1" thickTop="1"/>
    <row r="165" spans="2:18" ht="10.7" customHeight="1"/>
    <row r="166" spans="2:18" ht="10.7" customHeight="1"/>
    <row r="167" spans="2:18" ht="10.7" customHeight="1"/>
    <row r="168" spans="2:18" ht="10.7" customHeight="1"/>
    <row r="169" spans="2:18" ht="10.7" customHeight="1"/>
    <row r="170" spans="2:18" ht="10.7" customHeight="1"/>
    <row r="171" spans="2:18" ht="10.7" customHeight="1"/>
    <row r="172" spans="2:18" ht="10.7" customHeight="1"/>
    <row r="173" spans="2:18" ht="10.7" customHeight="1"/>
    <row r="174" spans="2:18" ht="10.7" customHeight="1"/>
    <row r="175" spans="2:18" ht="10.7" customHeight="1"/>
    <row r="176" spans="2:18" ht="10.7" customHeight="1"/>
    <row r="177" s="825" customFormat="1" ht="10.7" customHeight="1"/>
    <row r="178" s="825" customFormat="1" ht="10.7" customHeight="1"/>
    <row r="179" s="825" customFormat="1" ht="10.7" customHeight="1"/>
  </sheetData>
  <sheetProtection algorithmName="SHA-512" hashValue="RaKnRN4NaO9wLXrgKfTvHf497R46BHkEGWfsrqJ9zn26yY4EhXXN3/l9kUVDZofX4sW0FivuU8gnxNfgPrel0w==" saltValue="GxaYSX40cDqqFP5HGVFu0Q==" spinCount="100000" sheet="1" objects="1" scenarios="1"/>
  <dataConsolidate/>
  <mergeCells count="545">
    <mergeCell ref="K163:M163"/>
    <mergeCell ref="L149:M149"/>
    <mergeCell ref="L151:M151"/>
    <mergeCell ref="L153:M153"/>
    <mergeCell ref="K157:M157"/>
    <mergeCell ref="K158:M158"/>
    <mergeCell ref="K159:M159"/>
    <mergeCell ref="B136:J136"/>
    <mergeCell ref="K136:T136"/>
    <mergeCell ref="A141:T141"/>
    <mergeCell ref="L144:M144"/>
    <mergeCell ref="L145:M145"/>
    <mergeCell ref="L148:M148"/>
    <mergeCell ref="B134:J134"/>
    <mergeCell ref="K134:L134"/>
    <mergeCell ref="M134:N134"/>
    <mergeCell ref="O134:Q134"/>
    <mergeCell ref="R134:T134"/>
    <mergeCell ref="B135:J135"/>
    <mergeCell ref="K135:L135"/>
    <mergeCell ref="M135:N135"/>
    <mergeCell ref="O135:Q135"/>
    <mergeCell ref="R135:T135"/>
    <mergeCell ref="B132:J132"/>
    <mergeCell ref="K132:L132"/>
    <mergeCell ref="M132:N132"/>
    <mergeCell ref="O132:Q132"/>
    <mergeCell ref="R132:T132"/>
    <mergeCell ref="B133:J133"/>
    <mergeCell ref="K133:L133"/>
    <mergeCell ref="M133:N133"/>
    <mergeCell ref="O133:Q133"/>
    <mergeCell ref="R133:T133"/>
    <mergeCell ref="B130:J130"/>
    <mergeCell ref="K130:L130"/>
    <mergeCell ref="M130:N130"/>
    <mergeCell ref="O130:Q130"/>
    <mergeCell ref="R130:T130"/>
    <mergeCell ref="B131:J131"/>
    <mergeCell ref="K131:L131"/>
    <mergeCell ref="M131:N131"/>
    <mergeCell ref="O131:Q131"/>
    <mergeCell ref="R131:T131"/>
    <mergeCell ref="B126:J126"/>
    <mergeCell ref="K126:L126"/>
    <mergeCell ref="M126:N126"/>
    <mergeCell ref="O126:Q126"/>
    <mergeCell ref="R126:T126"/>
    <mergeCell ref="B127:J127"/>
    <mergeCell ref="K127:T127"/>
    <mergeCell ref="B124:J124"/>
    <mergeCell ref="K124:L124"/>
    <mergeCell ref="M124:N124"/>
    <mergeCell ref="O124:Q124"/>
    <mergeCell ref="R124:T124"/>
    <mergeCell ref="B125:J125"/>
    <mergeCell ref="K125:L125"/>
    <mergeCell ref="M125:N125"/>
    <mergeCell ref="O125:Q125"/>
    <mergeCell ref="R125:T125"/>
    <mergeCell ref="B122:J122"/>
    <mergeCell ref="K122:L122"/>
    <mergeCell ref="M122:N122"/>
    <mergeCell ref="O122:Q122"/>
    <mergeCell ref="R122:T122"/>
    <mergeCell ref="B123:J123"/>
    <mergeCell ref="K123:L123"/>
    <mergeCell ref="M123:N123"/>
    <mergeCell ref="O123:Q123"/>
    <mergeCell ref="R123:T123"/>
    <mergeCell ref="B120:J120"/>
    <mergeCell ref="K120:L120"/>
    <mergeCell ref="M120:N120"/>
    <mergeCell ref="O120:Q120"/>
    <mergeCell ref="R120:T120"/>
    <mergeCell ref="B121:J121"/>
    <mergeCell ref="K121:L121"/>
    <mergeCell ref="M121:N121"/>
    <mergeCell ref="O121:Q121"/>
    <mergeCell ref="R121:T121"/>
    <mergeCell ref="B118:J118"/>
    <mergeCell ref="K118:L118"/>
    <mergeCell ref="M118:N118"/>
    <mergeCell ref="O118:Q118"/>
    <mergeCell ref="R118:T118"/>
    <mergeCell ref="B119:J119"/>
    <mergeCell ref="K119:L119"/>
    <mergeCell ref="M119:N119"/>
    <mergeCell ref="O119:Q119"/>
    <mergeCell ref="R119:T119"/>
    <mergeCell ref="B116:J116"/>
    <mergeCell ref="K116:L116"/>
    <mergeCell ref="M116:N116"/>
    <mergeCell ref="O116:Q116"/>
    <mergeCell ref="R116:T116"/>
    <mergeCell ref="B117:J117"/>
    <mergeCell ref="K117:L117"/>
    <mergeCell ref="M117:N117"/>
    <mergeCell ref="O117:Q117"/>
    <mergeCell ref="R117:T117"/>
    <mergeCell ref="B114:J114"/>
    <mergeCell ref="K114:L114"/>
    <mergeCell ref="M114:N114"/>
    <mergeCell ref="O114:Q114"/>
    <mergeCell ref="R114:T114"/>
    <mergeCell ref="B115:J115"/>
    <mergeCell ref="K115:L115"/>
    <mergeCell ref="M115:N115"/>
    <mergeCell ref="O115:Q115"/>
    <mergeCell ref="R115:T115"/>
    <mergeCell ref="B112:J112"/>
    <mergeCell ref="K112:L112"/>
    <mergeCell ref="M112:N112"/>
    <mergeCell ref="O112:Q112"/>
    <mergeCell ref="R112:T112"/>
    <mergeCell ref="B113:J113"/>
    <mergeCell ref="K113:L113"/>
    <mergeCell ref="M113:N113"/>
    <mergeCell ref="O113:Q113"/>
    <mergeCell ref="R113:T113"/>
    <mergeCell ref="B108:J108"/>
    <mergeCell ref="K108:T108"/>
    <mergeCell ref="B111:J111"/>
    <mergeCell ref="K111:L111"/>
    <mergeCell ref="M111:N111"/>
    <mergeCell ref="O111:Q111"/>
    <mergeCell ref="R111:T111"/>
    <mergeCell ref="B106:J106"/>
    <mergeCell ref="K106:L106"/>
    <mergeCell ref="M106:N106"/>
    <mergeCell ref="O106:Q106"/>
    <mergeCell ref="R106:T106"/>
    <mergeCell ref="B107:J107"/>
    <mergeCell ref="K107:L107"/>
    <mergeCell ref="M107:N107"/>
    <mergeCell ref="O107:Q107"/>
    <mergeCell ref="R107:T107"/>
    <mergeCell ref="B104:J104"/>
    <mergeCell ref="K104:L104"/>
    <mergeCell ref="M104:N104"/>
    <mergeCell ref="O104:Q104"/>
    <mergeCell ref="R104:T104"/>
    <mergeCell ref="B105:J105"/>
    <mergeCell ref="K105:L105"/>
    <mergeCell ref="M105:N105"/>
    <mergeCell ref="O105:Q105"/>
    <mergeCell ref="R105:T105"/>
    <mergeCell ref="B102:J102"/>
    <mergeCell ref="K102:L102"/>
    <mergeCell ref="M102:N102"/>
    <mergeCell ref="O102:Q102"/>
    <mergeCell ref="R102:T102"/>
    <mergeCell ref="B103:J103"/>
    <mergeCell ref="K103:L103"/>
    <mergeCell ref="M103:N103"/>
    <mergeCell ref="O103:Q103"/>
    <mergeCell ref="R103:T103"/>
    <mergeCell ref="B100:J100"/>
    <mergeCell ref="K100:L100"/>
    <mergeCell ref="M100:N100"/>
    <mergeCell ref="O100:Q100"/>
    <mergeCell ref="R100:T100"/>
    <mergeCell ref="B101:J101"/>
    <mergeCell ref="K101:L101"/>
    <mergeCell ref="M101:N101"/>
    <mergeCell ref="O101:Q101"/>
    <mergeCell ref="R101:T101"/>
    <mergeCell ref="B98:J98"/>
    <mergeCell ref="K98:L98"/>
    <mergeCell ref="M98:N98"/>
    <mergeCell ref="O98:Q98"/>
    <mergeCell ref="R98:T98"/>
    <mergeCell ref="B99:J99"/>
    <mergeCell ref="K99:L99"/>
    <mergeCell ref="M99:N99"/>
    <mergeCell ref="O99:Q99"/>
    <mergeCell ref="R99:T99"/>
    <mergeCell ref="B93:J93"/>
    <mergeCell ref="K93:T93"/>
    <mergeCell ref="B97:J97"/>
    <mergeCell ref="K97:L97"/>
    <mergeCell ref="M97:N97"/>
    <mergeCell ref="O97:Q97"/>
    <mergeCell ref="R97:T97"/>
    <mergeCell ref="B91:J91"/>
    <mergeCell ref="K91:L91"/>
    <mergeCell ref="M91:N91"/>
    <mergeCell ref="O91:Q91"/>
    <mergeCell ref="R91:T91"/>
    <mergeCell ref="B92:J92"/>
    <mergeCell ref="K92:L92"/>
    <mergeCell ref="M92:N92"/>
    <mergeCell ref="O92:Q92"/>
    <mergeCell ref="R92:T92"/>
    <mergeCell ref="B89:J89"/>
    <mergeCell ref="K89:L89"/>
    <mergeCell ref="M89:N89"/>
    <mergeCell ref="O89:Q89"/>
    <mergeCell ref="R89:T89"/>
    <mergeCell ref="B90:J90"/>
    <mergeCell ref="K90:L90"/>
    <mergeCell ref="M90:N90"/>
    <mergeCell ref="O90:Q90"/>
    <mergeCell ref="R90:T90"/>
    <mergeCell ref="B87:J87"/>
    <mergeCell ref="K87:L87"/>
    <mergeCell ref="M87:N87"/>
    <mergeCell ref="O87:Q87"/>
    <mergeCell ref="R87:T87"/>
    <mergeCell ref="B88:J88"/>
    <mergeCell ref="K88:L88"/>
    <mergeCell ref="M88:N88"/>
    <mergeCell ref="O88:Q88"/>
    <mergeCell ref="R88:T88"/>
    <mergeCell ref="B85:J85"/>
    <mergeCell ref="K85:L85"/>
    <mergeCell ref="M85:N85"/>
    <mergeCell ref="O85:Q85"/>
    <mergeCell ref="R85:T85"/>
    <mergeCell ref="B86:J86"/>
    <mergeCell ref="K86:L86"/>
    <mergeCell ref="M86:N86"/>
    <mergeCell ref="O86:Q86"/>
    <mergeCell ref="R86:T86"/>
    <mergeCell ref="B83:J83"/>
    <mergeCell ref="K83:L83"/>
    <mergeCell ref="M83:N83"/>
    <mergeCell ref="O83:Q83"/>
    <mergeCell ref="R83:T83"/>
    <mergeCell ref="B84:J84"/>
    <mergeCell ref="K84:L84"/>
    <mergeCell ref="M84:N84"/>
    <mergeCell ref="O84:Q84"/>
    <mergeCell ref="R84:T84"/>
    <mergeCell ref="B81:J81"/>
    <mergeCell ref="K81:L81"/>
    <mergeCell ref="M81:N81"/>
    <mergeCell ref="O81:Q81"/>
    <mergeCell ref="R81:T81"/>
    <mergeCell ref="B82:J82"/>
    <mergeCell ref="K82:L82"/>
    <mergeCell ref="M82:N82"/>
    <mergeCell ref="O82:Q82"/>
    <mergeCell ref="R82:T82"/>
    <mergeCell ref="B79:J79"/>
    <mergeCell ref="K79:L79"/>
    <mergeCell ref="M79:N79"/>
    <mergeCell ref="O79:Q79"/>
    <mergeCell ref="R79:T79"/>
    <mergeCell ref="B80:J80"/>
    <mergeCell ref="K80:L80"/>
    <mergeCell ref="M80:N80"/>
    <mergeCell ref="O80:Q80"/>
    <mergeCell ref="R80:T80"/>
    <mergeCell ref="B77:J77"/>
    <mergeCell ref="K77:L77"/>
    <mergeCell ref="M77:N77"/>
    <mergeCell ref="O77:Q77"/>
    <mergeCell ref="R77:T77"/>
    <mergeCell ref="B78:J78"/>
    <mergeCell ref="K78:L78"/>
    <mergeCell ref="M78:N78"/>
    <mergeCell ref="O78:Q78"/>
    <mergeCell ref="R78:T78"/>
    <mergeCell ref="B75:J75"/>
    <mergeCell ref="K75:L75"/>
    <mergeCell ref="M75:N75"/>
    <mergeCell ref="O75:Q75"/>
    <mergeCell ref="R75:T75"/>
    <mergeCell ref="B76:J76"/>
    <mergeCell ref="K76:L76"/>
    <mergeCell ref="M76:N76"/>
    <mergeCell ref="O76:Q76"/>
    <mergeCell ref="R76:T76"/>
    <mergeCell ref="B73:J73"/>
    <mergeCell ref="K73:L73"/>
    <mergeCell ref="M73:N73"/>
    <mergeCell ref="O73:Q73"/>
    <mergeCell ref="R73:T73"/>
    <mergeCell ref="B74:J74"/>
    <mergeCell ref="K74:L74"/>
    <mergeCell ref="M74:N74"/>
    <mergeCell ref="O74:Q74"/>
    <mergeCell ref="R74:T74"/>
    <mergeCell ref="B71:J71"/>
    <mergeCell ref="K71:L71"/>
    <mergeCell ref="M71:N71"/>
    <mergeCell ref="O71:Q71"/>
    <mergeCell ref="R71:T71"/>
    <mergeCell ref="B72:J72"/>
    <mergeCell ref="K72:L72"/>
    <mergeCell ref="M72:N72"/>
    <mergeCell ref="O72:Q72"/>
    <mergeCell ref="R72:T72"/>
    <mergeCell ref="B69:J69"/>
    <mergeCell ref="K69:L69"/>
    <mergeCell ref="M69:N69"/>
    <mergeCell ref="O69:Q69"/>
    <mergeCell ref="R69:T69"/>
    <mergeCell ref="B70:J70"/>
    <mergeCell ref="K70:L70"/>
    <mergeCell ref="M70:N70"/>
    <mergeCell ref="O70:Q70"/>
    <mergeCell ref="R70:T70"/>
    <mergeCell ref="B63:J63"/>
    <mergeCell ref="K63:T63"/>
    <mergeCell ref="B68:J68"/>
    <mergeCell ref="K68:L68"/>
    <mergeCell ref="M68:N68"/>
    <mergeCell ref="O68:Q68"/>
    <mergeCell ref="R68:T68"/>
    <mergeCell ref="B61:J61"/>
    <mergeCell ref="K61:L61"/>
    <mergeCell ref="M61:N61"/>
    <mergeCell ref="O61:Q61"/>
    <mergeCell ref="R61:T61"/>
    <mergeCell ref="B62:J62"/>
    <mergeCell ref="K62:L62"/>
    <mergeCell ref="M62:N62"/>
    <mergeCell ref="O62:Q62"/>
    <mergeCell ref="R62:T62"/>
    <mergeCell ref="B59:J59"/>
    <mergeCell ref="K59:L59"/>
    <mergeCell ref="M59:N59"/>
    <mergeCell ref="O59:Q59"/>
    <mergeCell ref="R59:T59"/>
    <mergeCell ref="B60:J60"/>
    <mergeCell ref="K60:L60"/>
    <mergeCell ref="M60:N60"/>
    <mergeCell ref="O60:Q60"/>
    <mergeCell ref="R60:T60"/>
    <mergeCell ref="B57:J57"/>
    <mergeCell ref="K57:L57"/>
    <mergeCell ref="M57:N57"/>
    <mergeCell ref="O57:Q57"/>
    <mergeCell ref="R57:T57"/>
    <mergeCell ref="B58:J58"/>
    <mergeCell ref="K58:L58"/>
    <mergeCell ref="M58:N58"/>
    <mergeCell ref="O58:Q58"/>
    <mergeCell ref="R58:T58"/>
    <mergeCell ref="B55:J55"/>
    <mergeCell ref="K55:L55"/>
    <mergeCell ref="M55:N55"/>
    <mergeCell ref="O55:Q55"/>
    <mergeCell ref="R55:T55"/>
    <mergeCell ref="B56:J56"/>
    <mergeCell ref="K56:L56"/>
    <mergeCell ref="M56:N56"/>
    <mergeCell ref="O56:Q56"/>
    <mergeCell ref="R56:T56"/>
    <mergeCell ref="B53:J53"/>
    <mergeCell ref="K53:L53"/>
    <mergeCell ref="M53:N53"/>
    <mergeCell ref="O53:Q53"/>
    <mergeCell ref="R53:T53"/>
    <mergeCell ref="B54:J54"/>
    <mergeCell ref="K54:L54"/>
    <mergeCell ref="M54:N54"/>
    <mergeCell ref="O54:Q54"/>
    <mergeCell ref="R54:T54"/>
    <mergeCell ref="B51:J51"/>
    <mergeCell ref="K51:L51"/>
    <mergeCell ref="M51:N51"/>
    <mergeCell ref="O51:Q51"/>
    <mergeCell ref="R51:T51"/>
    <mergeCell ref="B52:J52"/>
    <mergeCell ref="K52:L52"/>
    <mergeCell ref="M52:N52"/>
    <mergeCell ref="O52:Q52"/>
    <mergeCell ref="R52:T52"/>
    <mergeCell ref="B49:J49"/>
    <mergeCell ref="K49:L49"/>
    <mergeCell ref="M49:N49"/>
    <mergeCell ref="O49:Q49"/>
    <mergeCell ref="R49:T49"/>
    <mergeCell ref="B50:J50"/>
    <mergeCell ref="K50:L50"/>
    <mergeCell ref="M50:N50"/>
    <mergeCell ref="O50:Q50"/>
    <mergeCell ref="R50:T50"/>
    <mergeCell ref="B47:J47"/>
    <mergeCell ref="K47:L47"/>
    <mergeCell ref="M47:N47"/>
    <mergeCell ref="O47:Q47"/>
    <mergeCell ref="R47:T47"/>
    <mergeCell ref="B48:J48"/>
    <mergeCell ref="K48:L48"/>
    <mergeCell ref="M48:N48"/>
    <mergeCell ref="O48:Q48"/>
    <mergeCell ref="R48:T48"/>
    <mergeCell ref="B45:J45"/>
    <mergeCell ref="K45:L45"/>
    <mergeCell ref="M45:N45"/>
    <mergeCell ref="O45:Q45"/>
    <mergeCell ref="R45:T45"/>
    <mergeCell ref="B46:J46"/>
    <mergeCell ref="K46:L46"/>
    <mergeCell ref="M46:N46"/>
    <mergeCell ref="O46:Q46"/>
    <mergeCell ref="R46:T46"/>
    <mergeCell ref="B43:J43"/>
    <mergeCell ref="K43:L43"/>
    <mergeCell ref="M43:N43"/>
    <mergeCell ref="O43:Q43"/>
    <mergeCell ref="R43:T43"/>
    <mergeCell ref="B44:J44"/>
    <mergeCell ref="K44:L44"/>
    <mergeCell ref="M44:N44"/>
    <mergeCell ref="O44:Q44"/>
    <mergeCell ref="R44:T44"/>
    <mergeCell ref="B41:J41"/>
    <mergeCell ref="K41:L41"/>
    <mergeCell ref="M41:N41"/>
    <mergeCell ref="O41:Q41"/>
    <mergeCell ref="R41:T41"/>
    <mergeCell ref="B42:J42"/>
    <mergeCell ref="K42:L42"/>
    <mergeCell ref="M42:N42"/>
    <mergeCell ref="O42:Q42"/>
    <mergeCell ref="R42:T42"/>
    <mergeCell ref="B39:J39"/>
    <mergeCell ref="K39:L39"/>
    <mergeCell ref="M39:N39"/>
    <mergeCell ref="O39:Q39"/>
    <mergeCell ref="R39:T39"/>
    <mergeCell ref="B40:J40"/>
    <mergeCell ref="K40:L40"/>
    <mergeCell ref="M40:N40"/>
    <mergeCell ref="O40:Q40"/>
    <mergeCell ref="R40:T40"/>
    <mergeCell ref="B37:J37"/>
    <mergeCell ref="K37:L37"/>
    <mergeCell ref="M37:N37"/>
    <mergeCell ref="O37:Q37"/>
    <mergeCell ref="R37:T37"/>
    <mergeCell ref="B38:J38"/>
    <mergeCell ref="K38:L38"/>
    <mergeCell ref="M38:N38"/>
    <mergeCell ref="O38:Q38"/>
    <mergeCell ref="R38:T38"/>
    <mergeCell ref="B35:J35"/>
    <mergeCell ref="K35:L35"/>
    <mergeCell ref="M35:N35"/>
    <mergeCell ref="O35:Q35"/>
    <mergeCell ref="R35:T35"/>
    <mergeCell ref="B36:J36"/>
    <mergeCell ref="K36:L36"/>
    <mergeCell ref="M36:N36"/>
    <mergeCell ref="O36:Q36"/>
    <mergeCell ref="R36:T36"/>
    <mergeCell ref="B33:J33"/>
    <mergeCell ref="K33:L33"/>
    <mergeCell ref="M33:N33"/>
    <mergeCell ref="O33:Q33"/>
    <mergeCell ref="R33:T33"/>
    <mergeCell ref="B34:J34"/>
    <mergeCell ref="K34:L34"/>
    <mergeCell ref="M34:N34"/>
    <mergeCell ref="O34:Q34"/>
    <mergeCell ref="R34:T34"/>
    <mergeCell ref="B31:J31"/>
    <mergeCell ref="K31:L31"/>
    <mergeCell ref="M31:N31"/>
    <mergeCell ref="O31:Q31"/>
    <mergeCell ref="R31:T31"/>
    <mergeCell ref="B32:J32"/>
    <mergeCell ref="K32:L32"/>
    <mergeCell ref="M32:N32"/>
    <mergeCell ref="O32:Q32"/>
    <mergeCell ref="R32:T32"/>
    <mergeCell ref="B27:J27"/>
    <mergeCell ref="K27:T27"/>
    <mergeCell ref="B24:J24"/>
    <mergeCell ref="K24:L24"/>
    <mergeCell ref="M24:N24"/>
    <mergeCell ref="O24:Q24"/>
    <mergeCell ref="R24:T24"/>
    <mergeCell ref="B25:J25"/>
    <mergeCell ref="K25:L25"/>
    <mergeCell ref="M25:N25"/>
    <mergeCell ref="O25:Q25"/>
    <mergeCell ref="R25:T25"/>
    <mergeCell ref="B23:J23"/>
    <mergeCell ref="K23:L23"/>
    <mergeCell ref="M23:N23"/>
    <mergeCell ref="O23:Q23"/>
    <mergeCell ref="R23:T23"/>
    <mergeCell ref="B26:J26"/>
    <mergeCell ref="K26:L26"/>
    <mergeCell ref="M26:N26"/>
    <mergeCell ref="O26:Q26"/>
    <mergeCell ref="R26:T26"/>
    <mergeCell ref="B21:J21"/>
    <mergeCell ref="K21:L21"/>
    <mergeCell ref="M21:N21"/>
    <mergeCell ref="O21:Q21"/>
    <mergeCell ref="R21:T21"/>
    <mergeCell ref="B22:J22"/>
    <mergeCell ref="K22:L22"/>
    <mergeCell ref="M22:N22"/>
    <mergeCell ref="O22:Q22"/>
    <mergeCell ref="R22:T22"/>
    <mergeCell ref="B19:J19"/>
    <mergeCell ref="K19:L19"/>
    <mergeCell ref="M19:N19"/>
    <mergeCell ref="O19:Q19"/>
    <mergeCell ref="R19:T19"/>
    <mergeCell ref="B20:J20"/>
    <mergeCell ref="K20:L20"/>
    <mergeCell ref="M20:N20"/>
    <mergeCell ref="O20:Q20"/>
    <mergeCell ref="R20:T20"/>
    <mergeCell ref="B17:J17"/>
    <mergeCell ref="K17:L17"/>
    <mergeCell ref="M17:N17"/>
    <mergeCell ref="O17:Q17"/>
    <mergeCell ref="R17:T17"/>
    <mergeCell ref="B18:J18"/>
    <mergeCell ref="K18:L18"/>
    <mergeCell ref="M18:N18"/>
    <mergeCell ref="O18:Q18"/>
    <mergeCell ref="R18:T18"/>
    <mergeCell ref="C1:Q2"/>
    <mergeCell ref="R1:T3"/>
    <mergeCell ref="C3:Q4"/>
    <mergeCell ref="R4:T5"/>
    <mergeCell ref="C5:Q5"/>
    <mergeCell ref="B16:J16"/>
    <mergeCell ref="K16:L16"/>
    <mergeCell ref="M16:N16"/>
    <mergeCell ref="O16:Q16"/>
    <mergeCell ref="R16:T16"/>
    <mergeCell ref="A8:A9"/>
    <mergeCell ref="B8:J9"/>
    <mergeCell ref="K8:L9"/>
    <mergeCell ref="M8:N9"/>
    <mergeCell ref="O8:T8"/>
    <mergeCell ref="O9:Q9"/>
    <mergeCell ref="R9:T9"/>
    <mergeCell ref="B15:J15"/>
    <mergeCell ref="K15:L15"/>
    <mergeCell ref="M15:N15"/>
    <mergeCell ref="O15:Q15"/>
    <mergeCell ref="R15:T15"/>
  </mergeCells>
  <pageMargins left="0.94488188976377963" right="0.39370078740157483" top="0.31496062992125984" bottom="0.59055118110236227" header="0.27559055118110237" footer="0.31496062992125984"/>
  <pageSetup paperSize="9" scale="78" fitToHeight="0" orientation="portrait" verticalDpi="300" r:id="rId1"/>
  <headerFooter alignWithMargins="0">
    <oddHeader xml:space="preserve">&amp;R&amp;"Arial CE,Bold"
 &amp;"Arial CE,Regular"
&amp;5
&amp;"Arial CE,Bold"&amp;7&amp;P&amp;"Arial CE,Regular"&amp;5
</oddHeader>
    <oddFooter xml:space="preserve">&amp;L&amp;7      </oddFooter>
  </headerFooter>
  <rowBreaks count="9" manualBreakCount="9">
    <brk id="27" max="19" man="1"/>
    <brk id="58" max="19" man="1"/>
    <brk id="63" max="19" man="1"/>
    <brk id="82" max="19" man="1"/>
    <brk id="93" max="19" man="1"/>
    <brk id="108" max="19" man="1"/>
    <brk id="115" max="19" man="1"/>
    <brk id="127" max="19" man="1"/>
    <brk id="136" max="19" man="1"/>
  </row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Radni listovi</vt:lpstr>
      </vt:variant>
      <vt:variant>
        <vt:i4>5</vt:i4>
      </vt:variant>
      <vt:variant>
        <vt:lpstr>Imenovani rasponi</vt:lpstr>
      </vt:variant>
      <vt:variant>
        <vt:i4>8</vt:i4>
      </vt:variant>
    </vt:vector>
  </HeadingPairs>
  <TitlesOfParts>
    <vt:vector size="13" baseType="lpstr">
      <vt:lpstr>građ-obrt</vt:lpstr>
      <vt:lpstr>promet</vt:lpstr>
      <vt:lpstr>strojarstvo</vt:lpstr>
      <vt:lpstr>elektro</vt:lpstr>
      <vt:lpstr>ViK</vt:lpstr>
      <vt:lpstr>'građ-obrt'!Ispis_naslova</vt:lpstr>
      <vt:lpstr>strojarstvo!Ispis_naslova</vt:lpstr>
      <vt:lpstr>ViK!Ispis_naslova</vt:lpstr>
      <vt:lpstr>strojarstvo!OLE_LINK1</vt:lpstr>
      <vt:lpstr>'građ-obrt'!Podrucje_ispisa</vt:lpstr>
      <vt:lpstr>promet!Podrucje_ispisa</vt:lpstr>
      <vt:lpstr>strojarstvo!Podrucje_ispisa</vt:lpstr>
      <vt:lpstr>ViK!Podrucje_ispisa</vt:lpstr>
    </vt:vector>
  </TitlesOfParts>
  <Company>Varazdin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Dobrotic</dc:creator>
  <cp:lastModifiedBy>Bruno Cindrić</cp:lastModifiedBy>
  <cp:lastPrinted>2025-01-15T12:09:58Z</cp:lastPrinted>
  <dcterms:created xsi:type="dcterms:W3CDTF">2000-10-31T16:08:00Z</dcterms:created>
  <dcterms:modified xsi:type="dcterms:W3CDTF">2025-01-28T11:49:00Z</dcterms:modified>
</cp:coreProperties>
</file>